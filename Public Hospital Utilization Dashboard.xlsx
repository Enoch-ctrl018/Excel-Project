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defaultThemeVersion="202300"/>
  <mc:AlternateContent xmlns:mc="http://schemas.openxmlformats.org/markup-compatibility/2006">
    <mc:Choice Requires="x15">
      <x15ac:absPath xmlns:x15ac="http://schemas.microsoft.com/office/spreadsheetml/2010/11/ac" url="C:\Users\pc1\Documents\"/>
    </mc:Choice>
  </mc:AlternateContent>
  <xr:revisionPtr revIDLastSave="0" documentId="8_{395CA194-EC7C-4839-9B2B-B570D1073ED0}" xr6:coauthVersionLast="47" xr6:coauthVersionMax="47" xr10:uidLastSave="{00000000-0000-0000-0000-000000000000}"/>
  <bookViews>
    <workbookView xWindow="-110" yWindow="-110" windowWidth="19420" windowHeight="10300" tabRatio="721" firstSheet="2" activeTab="11" xr2:uid="{43BB667B-3775-409A-87E6-73A1CE3156FB}"/>
  </bookViews>
  <sheets>
    <sheet name="Public_Hospital_Utilization_Dat" sheetId="1" r:id="rId1"/>
    <sheet name="Sheet1" sheetId="2" r:id="rId2"/>
    <sheet name="Sheet2" sheetId="3" r:id="rId3"/>
    <sheet name="Sheet3" sheetId="4" r:id="rId4"/>
    <sheet name="Sheet4" sheetId="5" r:id="rId5"/>
    <sheet name="Sheet7" sheetId="8" r:id="rId6"/>
    <sheet name="Sheet5" sheetId="6" r:id="rId7"/>
    <sheet name="Sheet6" sheetId="7" r:id="rId8"/>
    <sheet name="Sheet8" sheetId="9" r:id="rId9"/>
    <sheet name="Sheet9" sheetId="10" r:id="rId10"/>
    <sheet name="Sheet10" sheetId="12" r:id="rId11"/>
    <sheet name="Dashboard 1" sheetId="11" r:id="rId12"/>
    <sheet name="Sheet11" sheetId="13" r:id="rId13"/>
  </sheets>
  <definedNames>
    <definedName name="Slicer_Hospital">#N/A</definedName>
    <definedName name="Slicer_Months">#N/A</definedName>
  </definedNames>
  <calcPr calcId="191029"/>
  <pivotCaches>
    <pivotCache cacheId="2" r:id="rId14"/>
  </pivotCaches>
  <fileRecoveryPr repairLoad="1"/>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2" i="1" a="1"/>
  <c r="K2"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445" i="1" a="1"/>
  <c r="K445" i="1" s="1"/>
  <c r="K446" i="1" a="1"/>
  <c r="K446" i="1" s="1"/>
  <c r="K447" i="1" a="1"/>
  <c r="K447" i="1" s="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479" i="1" a="1"/>
  <c r="K479" i="1" s="1"/>
  <c r="K480" i="1" a="1"/>
  <c r="K480" i="1" s="1"/>
  <c r="K481" i="1" a="1"/>
  <c r="K481" i="1" s="1"/>
  <c r="K482" i="1" a="1"/>
  <c r="K482" i="1" s="1"/>
  <c r="K483" i="1" a="1"/>
  <c r="K483" i="1" s="1"/>
  <c r="K484" i="1" a="1"/>
  <c r="K484" i="1" s="1"/>
  <c r="K485" i="1" a="1"/>
  <c r="K485" i="1" s="1"/>
  <c r="K486" i="1" a="1"/>
  <c r="K486" i="1" s="1"/>
  <c r="K487" i="1" a="1"/>
  <c r="K487" i="1" s="1"/>
  <c r="K488" i="1" a="1"/>
  <c r="K488" i="1" s="1"/>
  <c r="K489" i="1" a="1"/>
  <c r="K489" i="1" s="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s="1"/>
  <c r="K501" i="1" a="1"/>
  <c r="K501" i="1" s="1"/>
  <c r="K502" i="1" a="1"/>
  <c r="K502" i="1" s="1"/>
  <c r="K503" i="1" a="1"/>
  <c r="K503" i="1" s="1"/>
  <c r="K504" i="1" a="1"/>
  <c r="K504" i="1" s="1"/>
  <c r="K505" i="1" a="1"/>
  <c r="K505" i="1" s="1"/>
  <c r="K506" i="1" a="1"/>
  <c r="K506" i="1" s="1"/>
  <c r="K507" i="1" a="1"/>
  <c r="K507" i="1" s="1"/>
  <c r="K508" i="1" a="1"/>
  <c r="K508" i="1" s="1"/>
  <c r="K509" i="1" a="1"/>
  <c r="K509" i="1" s="1"/>
  <c r="K510" i="1" a="1"/>
  <c r="K510" i="1" s="1"/>
  <c r="K511" i="1" a="1"/>
  <c r="K511" i="1" s="1"/>
  <c r="K512" i="1" a="1"/>
  <c r="K512" i="1" s="1"/>
  <c r="K513" i="1" a="1"/>
  <c r="K513" i="1" s="1"/>
  <c r="K514" i="1" a="1"/>
  <c r="K514" i="1" s="1"/>
  <c r="K515" i="1" a="1"/>
  <c r="K515" i="1" s="1"/>
  <c r="K516" i="1" a="1"/>
  <c r="K516" i="1" s="1"/>
  <c r="K517" i="1" a="1"/>
  <c r="K517" i="1" s="1"/>
  <c r="K518" i="1" a="1"/>
  <c r="K518" i="1" s="1"/>
  <c r="K519" i="1" a="1"/>
  <c r="K519" i="1" s="1"/>
  <c r="K520" i="1" a="1"/>
  <c r="K520" i="1" s="1"/>
  <c r="K521" i="1" a="1"/>
  <c r="K521" i="1" s="1"/>
  <c r="K522" i="1" a="1"/>
  <c r="K522" i="1" s="1"/>
  <c r="K523" i="1" a="1"/>
  <c r="K523" i="1" s="1"/>
  <c r="K524" i="1" a="1"/>
  <c r="K524" i="1" s="1"/>
  <c r="K525" i="1" a="1"/>
  <c r="K525" i="1" s="1"/>
  <c r="K526" i="1" a="1"/>
  <c r="K526" i="1" s="1"/>
  <c r="K527" i="1" a="1"/>
  <c r="K527" i="1" s="1"/>
  <c r="K528" i="1" a="1"/>
  <c r="K528" i="1" s="1"/>
  <c r="K529" i="1" a="1"/>
  <c r="K529" i="1" s="1"/>
  <c r="K530" i="1" a="1"/>
  <c r="K530" i="1" s="1"/>
  <c r="K531" i="1" a="1"/>
  <c r="K531" i="1" s="1"/>
  <c r="K532" i="1" a="1"/>
  <c r="K532" i="1" s="1"/>
  <c r="K533" i="1" a="1"/>
  <c r="K533" i="1" s="1"/>
  <c r="K534" i="1" a="1"/>
  <c r="K534" i="1" s="1"/>
  <c r="K535" i="1" a="1"/>
  <c r="K535" i="1" s="1"/>
  <c r="K536" i="1" a="1"/>
  <c r="K536" i="1" s="1"/>
  <c r="K537" i="1" a="1"/>
  <c r="K537" i="1" s="1"/>
  <c r="K538" i="1" a="1"/>
  <c r="K538" i="1" s="1"/>
  <c r="K539" i="1" a="1"/>
  <c r="K539" i="1" s="1"/>
  <c r="K540" i="1" a="1"/>
  <c r="K540" i="1" s="1"/>
  <c r="K541" i="1" a="1"/>
  <c r="K541" i="1" s="1"/>
  <c r="K542" i="1" a="1"/>
  <c r="K542" i="1" s="1"/>
  <c r="K543" i="1" a="1"/>
  <c r="K543" i="1" s="1"/>
  <c r="K544" i="1" a="1"/>
  <c r="K544" i="1" s="1"/>
  <c r="K545" i="1" a="1"/>
  <c r="K545" i="1" s="1"/>
  <c r="K546" i="1" a="1"/>
  <c r="K546" i="1" s="1"/>
  <c r="K547" i="1" a="1"/>
  <c r="K547" i="1" s="1"/>
  <c r="K548" i="1" a="1"/>
  <c r="K548" i="1" s="1"/>
  <c r="K549" i="1" a="1"/>
  <c r="K549" i="1" s="1"/>
  <c r="K550" i="1" a="1"/>
  <c r="K550" i="1" s="1"/>
  <c r="K551" i="1" a="1"/>
  <c r="K551" i="1" s="1"/>
  <c r="K552" i="1" a="1"/>
  <c r="K552" i="1" s="1"/>
  <c r="K553" i="1" a="1"/>
  <c r="K553" i="1" s="1"/>
  <c r="K554" i="1" a="1"/>
  <c r="K554" i="1" s="1"/>
  <c r="K555" i="1" a="1"/>
  <c r="K555" i="1" s="1"/>
  <c r="K556" i="1" a="1"/>
  <c r="K556" i="1" s="1"/>
  <c r="K557" i="1" a="1"/>
  <c r="K557" i="1" s="1"/>
  <c r="K558" i="1" a="1"/>
  <c r="K558" i="1" s="1"/>
  <c r="K559" i="1" a="1"/>
  <c r="K559" i="1" s="1"/>
  <c r="K560" i="1" a="1"/>
  <c r="K560" i="1" s="1"/>
  <c r="K561" i="1" a="1"/>
  <c r="K561" i="1" s="1"/>
  <c r="K562" i="1" a="1"/>
  <c r="K562" i="1" s="1"/>
  <c r="K563" i="1" a="1"/>
  <c r="K563" i="1" s="1"/>
  <c r="K564" i="1" a="1"/>
  <c r="K564" i="1" s="1"/>
  <c r="K565" i="1" a="1"/>
  <c r="K565" i="1" s="1"/>
  <c r="K566" i="1" a="1"/>
  <c r="K566" i="1" s="1"/>
  <c r="K567" i="1" a="1"/>
  <c r="K567" i="1" s="1"/>
  <c r="K568" i="1" a="1"/>
  <c r="K568" i="1" s="1"/>
  <c r="K569" i="1" a="1"/>
  <c r="K569" i="1" s="1"/>
  <c r="K570" i="1" a="1"/>
  <c r="K570" i="1" s="1"/>
  <c r="K571" i="1" a="1"/>
  <c r="K571" i="1" s="1"/>
  <c r="K572" i="1" a="1"/>
  <c r="K572" i="1" s="1"/>
  <c r="K573" i="1" a="1"/>
  <c r="K573" i="1" s="1"/>
  <c r="K574" i="1" a="1"/>
  <c r="K574" i="1" s="1"/>
  <c r="K575" i="1" a="1"/>
  <c r="K575" i="1" s="1"/>
  <c r="K576" i="1" a="1"/>
  <c r="K576" i="1" s="1"/>
  <c r="K577" i="1" a="1"/>
  <c r="K577" i="1" s="1"/>
  <c r="K578" i="1" a="1"/>
  <c r="K578" i="1" s="1"/>
  <c r="K579" i="1" a="1"/>
  <c r="K579" i="1" s="1"/>
  <c r="K580" i="1" a="1"/>
  <c r="K580" i="1" s="1"/>
  <c r="K581" i="1" a="1"/>
  <c r="K581" i="1" s="1"/>
  <c r="K582" i="1" a="1"/>
  <c r="K582" i="1" s="1"/>
  <c r="K583" i="1" a="1"/>
  <c r="K583" i="1" s="1"/>
  <c r="K584" i="1" a="1"/>
  <c r="K584" i="1" s="1"/>
  <c r="K585" i="1" a="1"/>
  <c r="K585" i="1" s="1"/>
  <c r="K586" i="1" a="1"/>
  <c r="K586" i="1" s="1"/>
  <c r="K587" i="1" a="1"/>
  <c r="K587" i="1" s="1"/>
  <c r="K588" i="1" a="1"/>
  <c r="K588" i="1" s="1"/>
  <c r="K589" i="1" a="1"/>
  <c r="K589" i="1" s="1"/>
  <c r="K590" i="1" a="1"/>
  <c r="K590" i="1" s="1"/>
  <c r="K591" i="1" a="1"/>
  <c r="K591" i="1" s="1"/>
  <c r="K592" i="1" a="1"/>
  <c r="K592" i="1" s="1"/>
  <c r="K593" i="1" a="1"/>
  <c r="K593" i="1" s="1"/>
  <c r="K594" i="1" a="1"/>
  <c r="K594" i="1" s="1"/>
  <c r="K595" i="1" a="1"/>
  <c r="K595" i="1" s="1"/>
  <c r="K596" i="1" a="1"/>
  <c r="K596" i="1" s="1"/>
  <c r="K597" i="1" a="1"/>
  <c r="K597" i="1" s="1"/>
  <c r="K598" i="1" a="1"/>
  <c r="K598" i="1" s="1"/>
  <c r="K599" i="1" a="1"/>
  <c r="K599" i="1" s="1"/>
  <c r="K600" i="1" a="1"/>
  <c r="K600" i="1" s="1"/>
  <c r="K601" i="1" a="1"/>
  <c r="K601" i="1" s="1"/>
  <c r="K602" i="1" a="1"/>
  <c r="K602" i="1" s="1"/>
  <c r="K603" i="1" a="1"/>
  <c r="K603" i="1" s="1"/>
  <c r="K604" i="1" a="1"/>
  <c r="K604" i="1" s="1"/>
  <c r="K605" i="1" a="1"/>
  <c r="K605" i="1" s="1"/>
  <c r="K606" i="1" a="1"/>
  <c r="K606" i="1" s="1"/>
  <c r="K607" i="1" a="1"/>
  <c r="K607" i="1" s="1"/>
  <c r="K608" i="1" a="1"/>
  <c r="K608" i="1" s="1"/>
  <c r="K609" i="1" a="1"/>
  <c r="K609" i="1" s="1"/>
  <c r="K610" i="1" a="1"/>
  <c r="K610" i="1" s="1"/>
  <c r="K611" i="1" a="1"/>
  <c r="K611" i="1" s="1"/>
  <c r="K612" i="1" a="1"/>
  <c r="K612" i="1" s="1"/>
  <c r="K613" i="1" a="1"/>
  <c r="K613" i="1" s="1"/>
  <c r="K614" i="1" a="1"/>
  <c r="K614" i="1" s="1"/>
  <c r="K615" i="1" a="1"/>
  <c r="K615" i="1" s="1"/>
  <c r="K616" i="1" a="1"/>
  <c r="K616" i="1" s="1"/>
  <c r="K617" i="1" a="1"/>
  <c r="K617" i="1" s="1"/>
  <c r="K618" i="1" a="1"/>
  <c r="K618" i="1" s="1"/>
  <c r="K619" i="1" a="1"/>
  <c r="K619" i="1" s="1"/>
  <c r="K620" i="1" a="1"/>
  <c r="K620" i="1" s="1"/>
  <c r="K621" i="1" a="1"/>
  <c r="K621" i="1" s="1"/>
  <c r="K622" i="1" a="1"/>
  <c r="K622" i="1" s="1"/>
  <c r="K623" i="1" a="1"/>
  <c r="K623" i="1" s="1"/>
  <c r="K624" i="1" a="1"/>
  <c r="K624" i="1" s="1"/>
  <c r="K625" i="1" a="1"/>
  <c r="K625" i="1" s="1"/>
  <c r="K626" i="1" a="1"/>
  <c r="K626" i="1" s="1"/>
  <c r="K627" i="1" a="1"/>
  <c r="K627" i="1" s="1"/>
  <c r="K628" i="1" a="1"/>
  <c r="K628" i="1" s="1"/>
  <c r="K629" i="1" a="1"/>
  <c r="K629" i="1" s="1"/>
  <c r="K630" i="1" a="1"/>
  <c r="K630" i="1" s="1"/>
  <c r="K631" i="1" a="1"/>
  <c r="K631" i="1" s="1"/>
  <c r="K632" i="1" a="1"/>
  <c r="K632" i="1" s="1"/>
  <c r="K633" i="1" a="1"/>
  <c r="K633" i="1" s="1"/>
  <c r="K634" i="1" a="1"/>
  <c r="K634" i="1" s="1"/>
  <c r="K635" i="1" a="1"/>
  <c r="K635" i="1" s="1"/>
  <c r="K636" i="1" a="1"/>
  <c r="K636" i="1" s="1"/>
  <c r="K637" i="1" a="1"/>
  <c r="K637" i="1" s="1"/>
  <c r="K638" i="1" a="1"/>
  <c r="K638" i="1" s="1"/>
  <c r="K639" i="1" a="1"/>
  <c r="K639" i="1" s="1"/>
  <c r="K640" i="1" a="1"/>
  <c r="K640" i="1" s="1"/>
  <c r="K641" i="1" a="1"/>
  <c r="K641" i="1" s="1"/>
  <c r="K642" i="1" a="1"/>
  <c r="K642" i="1" s="1"/>
  <c r="K643" i="1" a="1"/>
  <c r="K643" i="1" s="1"/>
  <c r="K644" i="1" a="1"/>
  <c r="K644" i="1" s="1"/>
  <c r="K645" i="1" a="1"/>
  <c r="K645" i="1" s="1"/>
  <c r="K646" i="1" a="1"/>
  <c r="K646" i="1" s="1"/>
  <c r="K647" i="1" a="1"/>
  <c r="K647" i="1" s="1"/>
  <c r="K648" i="1" a="1"/>
  <c r="K648" i="1" s="1"/>
  <c r="K649" i="1" a="1"/>
  <c r="K649" i="1" s="1"/>
  <c r="K650" i="1" a="1"/>
  <c r="K650" i="1" s="1"/>
  <c r="K651" i="1" a="1"/>
  <c r="K651" i="1" s="1"/>
  <c r="K652" i="1" a="1"/>
  <c r="K652" i="1" s="1"/>
  <c r="K653" i="1" a="1"/>
  <c r="K653" i="1" s="1"/>
  <c r="K654" i="1" a="1"/>
  <c r="K654" i="1" s="1"/>
  <c r="K655" i="1" a="1"/>
  <c r="K655" i="1" s="1"/>
  <c r="K656" i="1" a="1"/>
  <c r="K656" i="1" s="1"/>
  <c r="K657" i="1" a="1"/>
  <c r="K657" i="1" s="1"/>
  <c r="K658" i="1" a="1"/>
  <c r="K658" i="1" s="1"/>
  <c r="K659" i="1" a="1"/>
  <c r="K659" i="1" s="1"/>
  <c r="K660" i="1" a="1"/>
  <c r="K660" i="1" s="1"/>
  <c r="K661" i="1" a="1"/>
  <c r="K661" i="1" s="1"/>
  <c r="K662" i="1" a="1"/>
  <c r="K662" i="1" s="1"/>
  <c r="K663" i="1" a="1"/>
  <c r="K663" i="1" s="1"/>
  <c r="K664" i="1" a="1"/>
  <c r="K664" i="1" s="1"/>
  <c r="K665" i="1" a="1"/>
  <c r="K665" i="1" s="1"/>
  <c r="K666" i="1" a="1"/>
  <c r="K666" i="1" s="1"/>
  <c r="K667" i="1" a="1"/>
  <c r="K667" i="1" s="1"/>
  <c r="K668" i="1" a="1"/>
  <c r="K668" i="1" s="1"/>
  <c r="K669" i="1" a="1"/>
  <c r="K669" i="1" s="1"/>
  <c r="K670" i="1" a="1"/>
  <c r="K670" i="1" s="1"/>
  <c r="K671" i="1" a="1"/>
  <c r="K671" i="1" s="1"/>
  <c r="K672" i="1" a="1"/>
  <c r="K672" i="1" s="1"/>
  <c r="K673" i="1" a="1"/>
  <c r="K673" i="1" s="1"/>
  <c r="K674" i="1" a="1"/>
  <c r="K674" i="1" s="1"/>
  <c r="K675" i="1" a="1"/>
  <c r="K675" i="1" s="1"/>
  <c r="K676" i="1" a="1"/>
  <c r="K676" i="1" s="1"/>
  <c r="K677" i="1" a="1"/>
  <c r="K677" i="1" s="1"/>
  <c r="K678" i="1" a="1"/>
  <c r="K678" i="1" s="1"/>
  <c r="K679" i="1" a="1"/>
  <c r="K679" i="1" s="1"/>
  <c r="K680" i="1" a="1"/>
  <c r="K680" i="1" s="1"/>
  <c r="K681" i="1" a="1"/>
  <c r="K681" i="1" s="1"/>
  <c r="K682" i="1" a="1"/>
  <c r="K682" i="1" s="1"/>
  <c r="K683" i="1" a="1"/>
  <c r="K683" i="1" s="1"/>
  <c r="K684" i="1" a="1"/>
  <c r="K684" i="1" s="1"/>
  <c r="K685" i="1" a="1"/>
  <c r="K685" i="1" s="1"/>
  <c r="K686" i="1" a="1"/>
  <c r="K686" i="1" s="1"/>
  <c r="K687" i="1" a="1"/>
  <c r="K687" i="1" s="1"/>
  <c r="K688" i="1" a="1"/>
  <c r="K688" i="1" s="1"/>
  <c r="K689" i="1" a="1"/>
  <c r="K689" i="1" s="1"/>
  <c r="K690" i="1" a="1"/>
  <c r="K690" i="1" s="1"/>
  <c r="K691" i="1" a="1"/>
  <c r="K691" i="1" s="1"/>
  <c r="K692" i="1" a="1"/>
  <c r="K692" i="1" s="1"/>
  <c r="K693" i="1" a="1"/>
  <c r="K693" i="1" s="1"/>
  <c r="K694" i="1" a="1"/>
  <c r="K694" i="1" s="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717" i="1" a="1"/>
  <c r="K717" i="1" s="1"/>
  <c r="K718" i="1" a="1"/>
  <c r="K718" i="1" s="1"/>
  <c r="K719" i="1" a="1"/>
  <c r="K719" i="1" s="1"/>
  <c r="K720" i="1" a="1"/>
  <c r="K720" i="1" s="1"/>
  <c r="K721" i="1" a="1"/>
  <c r="K721" i="1" s="1"/>
  <c r="K722" i="1" a="1"/>
  <c r="K722" i="1" s="1"/>
  <c r="K723" i="1" a="1"/>
  <c r="K723" i="1" s="1"/>
  <c r="K724" i="1" a="1"/>
  <c r="K724" i="1" s="1"/>
  <c r="K725" i="1" a="1"/>
  <c r="K725" i="1" s="1"/>
  <c r="K726" i="1" a="1"/>
  <c r="K726" i="1" s="1"/>
  <c r="K727" i="1" a="1"/>
  <c r="K727" i="1" s="1"/>
  <c r="K728" i="1" a="1"/>
  <c r="K728" i="1" s="1"/>
  <c r="K729" i="1" a="1"/>
  <c r="K729" i="1" s="1"/>
  <c r="K730" i="1" a="1"/>
  <c r="K730" i="1" s="1"/>
  <c r="K731" i="1" a="1"/>
  <c r="K731" i="1" s="1"/>
  <c r="K732" i="1" a="1"/>
  <c r="K732" i="1" s="1"/>
  <c r="K733" i="1" a="1"/>
  <c r="K733" i="1" s="1"/>
  <c r="K734" i="1" a="1"/>
  <c r="K734" i="1" s="1"/>
  <c r="K735" i="1" a="1"/>
  <c r="K735" i="1" s="1"/>
  <c r="K736" i="1" a="1"/>
  <c r="K736" i="1" s="1"/>
  <c r="K737" i="1" a="1"/>
  <c r="K737" i="1" s="1"/>
  <c r="K738" i="1" a="1"/>
  <c r="K738" i="1" s="1"/>
  <c r="K739" i="1" a="1"/>
  <c r="K739" i="1" s="1"/>
  <c r="K740" i="1" a="1"/>
  <c r="K740" i="1" s="1"/>
  <c r="K741" i="1" a="1"/>
  <c r="K741" i="1" s="1"/>
  <c r="K742" i="1" a="1"/>
  <c r="K742" i="1" s="1"/>
  <c r="K743" i="1" a="1"/>
  <c r="K743" i="1" s="1"/>
  <c r="K744" i="1" a="1"/>
  <c r="K744" i="1" s="1"/>
  <c r="K745" i="1" a="1"/>
  <c r="K745" i="1" s="1"/>
  <c r="K746" i="1" a="1"/>
  <c r="K746" i="1" s="1"/>
  <c r="K747" i="1" a="1"/>
  <c r="K747" i="1" s="1"/>
  <c r="K748" i="1" a="1"/>
  <c r="K748" i="1" s="1"/>
  <c r="K749" i="1" a="1"/>
  <c r="K749" i="1" s="1"/>
  <c r="K750" i="1" a="1"/>
  <c r="K750" i="1" s="1"/>
  <c r="K751" i="1" a="1"/>
  <c r="K751" i="1" s="1"/>
  <c r="K752" i="1" a="1"/>
  <c r="K752" i="1" s="1"/>
  <c r="K753" i="1" a="1"/>
  <c r="K753" i="1" s="1"/>
  <c r="K754" i="1" a="1"/>
  <c r="K754" i="1" s="1"/>
  <c r="K755" i="1" a="1"/>
  <c r="K755" i="1" s="1"/>
  <c r="K756" i="1" a="1"/>
  <c r="K756" i="1" s="1"/>
  <c r="K757" i="1" a="1"/>
  <c r="K757" i="1" s="1"/>
  <c r="K758" i="1" a="1"/>
  <c r="K758" i="1" s="1"/>
  <c r="K759" i="1" a="1"/>
  <c r="K759" i="1" s="1"/>
  <c r="K760" i="1" a="1"/>
  <c r="K760" i="1" s="1"/>
  <c r="K761" i="1" a="1"/>
  <c r="K761" i="1" s="1"/>
  <c r="K762" i="1" a="1"/>
  <c r="K762" i="1" s="1"/>
  <c r="K763" i="1" a="1"/>
  <c r="K763" i="1" s="1"/>
  <c r="K764" i="1" a="1"/>
  <c r="K764" i="1" s="1"/>
  <c r="K765" i="1" a="1"/>
  <c r="K765" i="1" s="1"/>
  <c r="K766" i="1" a="1"/>
  <c r="K766" i="1" s="1"/>
  <c r="K767" i="1" a="1"/>
  <c r="K767" i="1" s="1"/>
  <c r="K768" i="1" a="1"/>
  <c r="K768" i="1" s="1"/>
  <c r="K769" i="1" a="1"/>
  <c r="K769" i="1" s="1"/>
  <c r="K770" i="1" a="1"/>
  <c r="K770" i="1" s="1"/>
  <c r="K771" i="1" a="1"/>
  <c r="K771" i="1" s="1"/>
  <c r="K772" i="1" a="1"/>
  <c r="K772" i="1" s="1"/>
  <c r="K773" i="1" a="1"/>
  <c r="K773" i="1" s="1"/>
  <c r="K774" i="1" a="1"/>
  <c r="K774" i="1" s="1"/>
  <c r="K775" i="1" a="1"/>
  <c r="K775" i="1" s="1"/>
  <c r="K776" i="1" a="1"/>
  <c r="K776" i="1" s="1"/>
  <c r="K777" i="1" a="1"/>
  <c r="K777" i="1" s="1"/>
  <c r="K778" i="1" a="1"/>
  <c r="K778" i="1" s="1"/>
  <c r="K779" i="1" a="1"/>
  <c r="K779" i="1" s="1"/>
  <c r="K780" i="1" a="1"/>
  <c r="K780" i="1" s="1"/>
  <c r="K781" i="1" a="1"/>
  <c r="K781" i="1" s="1"/>
  <c r="K782" i="1" a="1"/>
  <c r="K782" i="1" s="1"/>
  <c r="K783" i="1" a="1"/>
  <c r="K783" i="1" s="1"/>
  <c r="K784" i="1" a="1"/>
  <c r="K784" i="1" s="1"/>
  <c r="K785" i="1" a="1"/>
  <c r="K785" i="1" s="1"/>
  <c r="K786" i="1" a="1"/>
  <c r="K786" i="1" s="1"/>
  <c r="K787" i="1" a="1"/>
  <c r="K787" i="1" s="1"/>
  <c r="K788" i="1" a="1"/>
  <c r="K788" i="1" s="1"/>
  <c r="K789" i="1" a="1"/>
  <c r="K789" i="1" s="1"/>
  <c r="K790" i="1" a="1"/>
  <c r="K790" i="1" s="1"/>
  <c r="K791" i="1" a="1"/>
  <c r="K791" i="1" s="1"/>
  <c r="K792" i="1" a="1"/>
  <c r="K792" i="1" s="1"/>
  <c r="K793" i="1" a="1"/>
  <c r="K793" i="1" s="1"/>
  <c r="K794" i="1" a="1"/>
  <c r="K794" i="1" s="1"/>
  <c r="K795" i="1" a="1"/>
  <c r="K795" i="1" s="1"/>
  <c r="K796" i="1" a="1"/>
  <c r="K796" i="1" s="1"/>
  <c r="K797" i="1" a="1"/>
  <c r="K797" i="1" s="1"/>
  <c r="K798" i="1" a="1"/>
  <c r="K798" i="1" s="1"/>
  <c r="K799" i="1" a="1"/>
  <c r="K799" i="1" s="1"/>
  <c r="K800" i="1" a="1"/>
  <c r="K800" i="1" s="1"/>
  <c r="K801" i="1" a="1"/>
  <c r="K801" i="1" s="1"/>
  <c r="K802" i="1" a="1"/>
  <c r="K802" i="1" s="1"/>
  <c r="K803" i="1" a="1"/>
  <c r="K803" i="1" s="1"/>
  <c r="K804" i="1" a="1"/>
  <c r="K804" i="1" s="1"/>
  <c r="K805" i="1" a="1"/>
  <c r="K805" i="1" s="1"/>
  <c r="K806" i="1" a="1"/>
  <c r="K806" i="1" s="1"/>
  <c r="K807" i="1" a="1"/>
  <c r="K807" i="1" s="1"/>
  <c r="K808" i="1" a="1"/>
  <c r="K808" i="1" s="1"/>
  <c r="K809" i="1" a="1"/>
  <c r="K809" i="1" s="1"/>
  <c r="K810" i="1" a="1"/>
  <c r="K810" i="1" s="1"/>
  <c r="K811" i="1" a="1"/>
  <c r="K811" i="1" s="1"/>
  <c r="K812" i="1" a="1"/>
  <c r="K812" i="1" s="1"/>
  <c r="K813" i="1" a="1"/>
  <c r="K813" i="1" s="1"/>
  <c r="K814" i="1" a="1"/>
  <c r="K814" i="1" s="1"/>
  <c r="K815" i="1" a="1"/>
  <c r="K815" i="1" s="1"/>
  <c r="K816" i="1" a="1"/>
  <c r="K816" i="1" s="1"/>
  <c r="K817" i="1" a="1"/>
  <c r="K817" i="1" s="1"/>
  <c r="K818" i="1" a="1"/>
  <c r="K818" i="1" s="1"/>
  <c r="K819" i="1" a="1"/>
  <c r="K819" i="1" s="1"/>
  <c r="K820" i="1" a="1"/>
  <c r="K820" i="1" s="1"/>
  <c r="K821" i="1" a="1"/>
  <c r="K821" i="1" s="1"/>
  <c r="K822" i="1" a="1"/>
  <c r="K822" i="1" s="1"/>
  <c r="K823" i="1" a="1"/>
  <c r="K823" i="1" s="1"/>
  <c r="K824" i="1" a="1"/>
  <c r="K824" i="1" s="1"/>
  <c r="K825" i="1" a="1"/>
  <c r="K825" i="1" s="1"/>
  <c r="K826" i="1" a="1"/>
  <c r="K826" i="1" s="1"/>
  <c r="K827" i="1" a="1"/>
  <c r="K827" i="1" s="1"/>
  <c r="K828" i="1" a="1"/>
  <c r="K828" i="1" s="1"/>
  <c r="K829" i="1" a="1"/>
  <c r="K829" i="1" s="1"/>
  <c r="K830" i="1" a="1"/>
  <c r="K830" i="1" s="1"/>
  <c r="K831" i="1" a="1"/>
  <c r="K831" i="1" s="1"/>
  <c r="K832" i="1" a="1"/>
  <c r="K832" i="1" s="1"/>
  <c r="K833" i="1" a="1"/>
  <c r="K833" i="1" s="1"/>
  <c r="K834" i="1" a="1"/>
  <c r="K834" i="1" s="1"/>
  <c r="K835" i="1" a="1"/>
  <c r="K835" i="1" s="1"/>
  <c r="K836" i="1" a="1"/>
  <c r="K836" i="1" s="1"/>
  <c r="K837" i="1" a="1"/>
  <c r="K837" i="1" s="1"/>
  <c r="K838" i="1" a="1"/>
  <c r="K838" i="1" s="1"/>
  <c r="K839" i="1" a="1"/>
  <c r="K839" i="1" s="1"/>
  <c r="K840" i="1" a="1"/>
  <c r="K840" i="1" s="1"/>
  <c r="K841" i="1" a="1"/>
  <c r="K841" i="1" s="1"/>
  <c r="K842" i="1" a="1"/>
  <c r="K842" i="1" s="1"/>
  <c r="K843" i="1" a="1"/>
  <c r="K843" i="1" s="1"/>
  <c r="K844" i="1" a="1"/>
  <c r="K844" i="1" s="1"/>
  <c r="K845" i="1" a="1"/>
  <c r="K845" i="1" s="1"/>
  <c r="K846" i="1" a="1"/>
  <c r="K846" i="1" s="1"/>
  <c r="K847" i="1" a="1"/>
  <c r="K847" i="1" s="1"/>
  <c r="K848" i="1" a="1"/>
  <c r="K848" i="1" s="1"/>
  <c r="K849" i="1" a="1"/>
  <c r="K849" i="1" s="1"/>
  <c r="K850" i="1" a="1"/>
  <c r="K850" i="1" s="1"/>
  <c r="K851" i="1" a="1"/>
  <c r="K851" i="1" s="1"/>
  <c r="K852" i="1" a="1"/>
  <c r="K852" i="1" s="1"/>
  <c r="K853" i="1" a="1"/>
  <c r="K853" i="1" s="1"/>
  <c r="K854" i="1" a="1"/>
  <c r="K854" i="1" s="1"/>
  <c r="K855" i="1" a="1"/>
  <c r="K855" i="1" s="1"/>
  <c r="K856" i="1" a="1"/>
  <c r="K856" i="1" s="1"/>
  <c r="K857" i="1" a="1"/>
  <c r="K857" i="1" s="1"/>
  <c r="K858" i="1" a="1"/>
  <c r="K858" i="1" s="1"/>
  <c r="K859" i="1" a="1"/>
  <c r="K859" i="1" s="1"/>
  <c r="K860" i="1" a="1"/>
  <c r="K860" i="1" s="1"/>
  <c r="K861" i="1" a="1"/>
  <c r="K861" i="1" s="1"/>
  <c r="K862" i="1" a="1"/>
  <c r="K862" i="1" s="1"/>
  <c r="K863" i="1" a="1"/>
  <c r="K863" i="1" s="1"/>
  <c r="K864" i="1" a="1"/>
  <c r="K864" i="1" s="1"/>
  <c r="K865" i="1" a="1"/>
  <c r="K865" i="1" s="1"/>
  <c r="K866" i="1" a="1"/>
  <c r="K866" i="1" s="1"/>
  <c r="K867" i="1" a="1"/>
  <c r="K867" i="1" s="1"/>
  <c r="K868" i="1" a="1"/>
  <c r="K868" i="1" s="1"/>
  <c r="K869" i="1" a="1"/>
  <c r="K869" i="1" s="1"/>
  <c r="K870" i="1" a="1"/>
  <c r="K870" i="1" s="1"/>
  <c r="K871" i="1" a="1"/>
  <c r="K871" i="1" s="1"/>
  <c r="K872" i="1" a="1"/>
  <c r="K872" i="1" s="1"/>
  <c r="K873" i="1" a="1"/>
  <c r="K873" i="1" s="1"/>
  <c r="K874" i="1" a="1"/>
  <c r="K874" i="1" s="1"/>
  <c r="K875" i="1" a="1"/>
  <c r="K875" i="1" s="1"/>
  <c r="K876" i="1" a="1"/>
  <c r="K876" i="1" s="1"/>
  <c r="K877" i="1" a="1"/>
  <c r="K877" i="1" s="1"/>
  <c r="K878" i="1" a="1"/>
  <c r="K878" i="1" s="1"/>
  <c r="K879" i="1" a="1"/>
  <c r="K879" i="1" s="1"/>
  <c r="K880" i="1" a="1"/>
  <c r="K880" i="1" s="1"/>
  <c r="K881" i="1" a="1"/>
  <c r="K881" i="1" s="1"/>
  <c r="K882" i="1" a="1"/>
  <c r="K882" i="1" s="1"/>
  <c r="K883" i="1" a="1"/>
  <c r="K883" i="1" s="1"/>
  <c r="K884" i="1" a="1"/>
  <c r="K884" i="1" s="1"/>
  <c r="K885" i="1" a="1"/>
  <c r="K885" i="1" s="1"/>
  <c r="K886" i="1" a="1"/>
  <c r="K886" i="1" s="1"/>
  <c r="K887" i="1" a="1"/>
  <c r="K887" i="1" s="1"/>
  <c r="K888" i="1" a="1"/>
  <c r="K888" i="1" s="1"/>
  <c r="K889" i="1" a="1"/>
  <c r="K889" i="1" s="1"/>
  <c r="K890" i="1" a="1"/>
  <c r="K890" i="1" s="1"/>
  <c r="K891" i="1" a="1"/>
  <c r="K891" i="1" s="1"/>
  <c r="K892" i="1" a="1"/>
  <c r="K892" i="1" s="1"/>
  <c r="K893" i="1" a="1"/>
  <c r="K893" i="1" s="1"/>
  <c r="K894" i="1" a="1"/>
  <c r="K894" i="1" s="1"/>
  <c r="K895" i="1" a="1"/>
  <c r="K895" i="1" s="1"/>
  <c r="K896" i="1" a="1"/>
  <c r="K896" i="1" s="1"/>
  <c r="K897" i="1" a="1"/>
  <c r="K897" i="1" s="1"/>
  <c r="K898" i="1" a="1"/>
  <c r="K898" i="1" s="1"/>
  <c r="K899" i="1" a="1"/>
  <c r="K899" i="1" s="1"/>
  <c r="K900" i="1" a="1"/>
  <c r="K900" i="1" s="1"/>
  <c r="K901" i="1" a="1"/>
  <c r="K901" i="1" s="1"/>
  <c r="K902" i="1" a="1"/>
  <c r="K902" i="1" s="1"/>
  <c r="K903" i="1" a="1"/>
  <c r="K903" i="1" s="1"/>
  <c r="K904" i="1" a="1"/>
  <c r="K904" i="1" s="1"/>
  <c r="K905" i="1" a="1"/>
  <c r="K905" i="1" s="1"/>
  <c r="K906" i="1" a="1"/>
  <c r="K906" i="1" s="1"/>
  <c r="K907" i="1" a="1"/>
  <c r="K907" i="1" s="1"/>
  <c r="K908" i="1" a="1"/>
  <c r="K908" i="1" s="1"/>
  <c r="K909" i="1" a="1"/>
  <c r="K909" i="1" s="1"/>
  <c r="K910" i="1" a="1"/>
  <c r="K910" i="1" s="1"/>
  <c r="K911" i="1" a="1"/>
  <c r="K911" i="1" s="1"/>
  <c r="K912" i="1" a="1"/>
  <c r="K912" i="1" s="1"/>
  <c r="K913" i="1" a="1"/>
  <c r="K913" i="1" s="1"/>
  <c r="K914" i="1" a="1"/>
  <c r="K914" i="1" s="1"/>
  <c r="K915" i="1" a="1"/>
  <c r="K915" i="1" s="1"/>
  <c r="K916" i="1" a="1"/>
  <c r="K916" i="1" s="1"/>
  <c r="K917" i="1" a="1"/>
  <c r="K917" i="1" s="1"/>
  <c r="K918" i="1" a="1"/>
  <c r="K918" i="1" s="1"/>
  <c r="K919" i="1" a="1"/>
  <c r="K919" i="1" s="1"/>
  <c r="K920" i="1" a="1"/>
  <c r="K920" i="1" s="1"/>
  <c r="K921" i="1" a="1"/>
  <c r="K921" i="1" s="1"/>
  <c r="K922" i="1" a="1"/>
  <c r="K922" i="1" s="1"/>
  <c r="K923" i="1" a="1"/>
  <c r="K923" i="1" s="1"/>
  <c r="K924" i="1" a="1"/>
  <c r="K924" i="1" s="1"/>
  <c r="K925" i="1" a="1"/>
  <c r="K925" i="1" s="1"/>
  <c r="K926" i="1" a="1"/>
  <c r="K926" i="1" s="1"/>
  <c r="K927" i="1" a="1"/>
  <c r="K927" i="1" s="1"/>
  <c r="K928" i="1" a="1"/>
  <c r="K928" i="1" s="1"/>
  <c r="K929" i="1" a="1"/>
  <c r="K929" i="1" s="1"/>
  <c r="K930" i="1" a="1"/>
  <c r="K930" i="1" s="1"/>
  <c r="K931" i="1" a="1"/>
  <c r="K931" i="1" s="1"/>
  <c r="K932" i="1" a="1"/>
  <c r="K932" i="1" s="1"/>
  <c r="K933" i="1" a="1"/>
  <c r="K933" i="1" s="1"/>
  <c r="K934" i="1" a="1"/>
  <c r="K934" i="1" s="1"/>
  <c r="K935" i="1" a="1"/>
  <c r="K935" i="1" s="1"/>
  <c r="K936" i="1" a="1"/>
  <c r="K936" i="1" s="1"/>
  <c r="K937" i="1" a="1"/>
  <c r="K937" i="1" s="1"/>
  <c r="K938" i="1" a="1"/>
  <c r="K938" i="1" s="1"/>
  <c r="K939" i="1" a="1"/>
  <c r="K939" i="1" s="1"/>
  <c r="K940" i="1" a="1"/>
  <c r="K940" i="1" s="1"/>
  <c r="K941" i="1" a="1"/>
  <c r="K941" i="1" s="1"/>
  <c r="K942" i="1" a="1"/>
  <c r="K942" i="1" s="1"/>
  <c r="K943" i="1" a="1"/>
  <c r="K943" i="1" s="1"/>
  <c r="K944" i="1" a="1"/>
  <c r="K944" i="1" s="1"/>
  <c r="K945" i="1" a="1"/>
  <c r="K945" i="1" s="1"/>
  <c r="K946" i="1" a="1"/>
  <c r="K946" i="1" s="1"/>
  <c r="K947" i="1" a="1"/>
  <c r="K947" i="1" s="1"/>
  <c r="K948" i="1" a="1"/>
  <c r="K948" i="1" s="1"/>
  <c r="K949" i="1" a="1"/>
  <c r="K949" i="1" s="1"/>
  <c r="K950" i="1" a="1"/>
  <c r="K950" i="1" s="1"/>
  <c r="K951" i="1" a="1"/>
  <c r="K951" i="1" s="1"/>
  <c r="K952" i="1" a="1"/>
  <c r="K952" i="1" s="1"/>
  <c r="K953" i="1" a="1"/>
  <c r="K953" i="1" s="1"/>
  <c r="K954" i="1" a="1"/>
  <c r="K954" i="1" s="1"/>
  <c r="K955" i="1" a="1"/>
  <c r="K955" i="1" s="1"/>
  <c r="K956" i="1" a="1"/>
  <c r="K956" i="1" s="1"/>
  <c r="K957" i="1" a="1"/>
  <c r="K957" i="1" s="1"/>
  <c r="K958" i="1" a="1"/>
  <c r="K958" i="1" s="1"/>
  <c r="K959" i="1" a="1"/>
  <c r="K959" i="1" s="1"/>
  <c r="K960" i="1" a="1"/>
  <c r="K960" i="1" s="1"/>
  <c r="K961" i="1" a="1"/>
  <c r="K961" i="1" s="1"/>
  <c r="K962" i="1" a="1"/>
  <c r="K962" i="1" s="1"/>
  <c r="K963" i="1" a="1"/>
  <c r="K963" i="1" s="1"/>
  <c r="K964" i="1" a="1"/>
  <c r="K964" i="1" s="1"/>
  <c r="K965" i="1" a="1"/>
  <c r="K965" i="1" s="1"/>
  <c r="K966" i="1" a="1"/>
  <c r="K966" i="1" s="1"/>
  <c r="K967" i="1" a="1"/>
  <c r="K967" i="1" s="1"/>
  <c r="K968" i="1" a="1"/>
  <c r="K968" i="1" s="1"/>
  <c r="K969" i="1" a="1"/>
  <c r="K96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981" i="1" a="1"/>
  <c r="K981" i="1" s="1"/>
  <c r="K982" i="1" a="1"/>
  <c r="K982" i="1" s="1"/>
  <c r="K983" i="1" a="1"/>
  <c r="K983" i="1" s="1"/>
  <c r="K984" i="1" a="1"/>
  <c r="K984" i="1" s="1"/>
  <c r="K985" i="1" a="1"/>
  <c r="K985" i="1" s="1"/>
  <c r="K986" i="1" a="1"/>
  <c r="K986" i="1" s="1"/>
  <c r="K987" i="1" a="1"/>
  <c r="K987" i="1" s="1"/>
  <c r="K988" i="1" a="1"/>
  <c r="K988" i="1" s="1"/>
  <c r="K989" i="1" a="1"/>
  <c r="K989" i="1" s="1"/>
  <c r="K990" i="1" a="1"/>
  <c r="K990" i="1" s="1"/>
  <c r="K991" i="1" a="1"/>
  <c r="K991" i="1" s="1"/>
  <c r="K992" i="1" a="1"/>
  <c r="K992" i="1" s="1"/>
  <c r="K993" i="1" a="1"/>
  <c r="K993" i="1" s="1"/>
  <c r="K994" i="1" a="1"/>
  <c r="K994" i="1" s="1"/>
  <c r="K995" i="1" a="1"/>
  <c r="K995" i="1" s="1"/>
  <c r="K996" i="1" a="1"/>
  <c r="K996" i="1" s="1"/>
  <c r="K997" i="1" a="1"/>
  <c r="K997" i="1" s="1"/>
  <c r="K998" i="1" a="1"/>
  <c r="K998" i="1" s="1"/>
  <c r="K999" i="1" a="1"/>
  <c r="K999" i="1" s="1"/>
  <c r="K1000" i="1" a="1"/>
  <c r="K1000" i="1" s="1"/>
  <c r="K1001" i="1" a="1"/>
  <c r="K1001" i="1" s="1"/>
  <c r="F2" i="12" l="1"/>
  <c r="F3" i="12"/>
  <c r="F4" i="12"/>
  <c r="F5" i="12"/>
  <c r="F6" i="12"/>
  <c r="F7" i="12"/>
  <c r="F8" i="12"/>
  <c r="F9" i="12"/>
  <c r="F10" i="12"/>
  <c r="F11" i="12"/>
  <c r="F12" i="12"/>
  <c r="F13" i="12"/>
  <c r="F14" i="12"/>
  <c r="F15" i="12"/>
  <c r="F16" i="12"/>
  <c r="F17" i="12"/>
  <c r="F18" i="12"/>
  <c r="E3" i="12"/>
  <c r="E4" i="12"/>
  <c r="E5" i="12"/>
  <c r="E6" i="12"/>
  <c r="E7" i="12"/>
  <c r="E8" i="12"/>
  <c r="E9" i="12"/>
  <c r="E10" i="12"/>
  <c r="E11" i="12"/>
  <c r="E12" i="12"/>
  <c r="E13" i="12"/>
  <c r="E14" i="12"/>
  <c r="E15" i="12"/>
  <c r="E16" i="12"/>
  <c r="E17" i="12"/>
  <c r="E18" i="12"/>
  <c r="E2" i="12"/>
  <c r="G2" i="7"/>
  <c r="H2" i="7"/>
  <c r="G3" i="7"/>
  <c r="H3" i="7"/>
  <c r="G4" i="7"/>
  <c r="H4" i="7"/>
  <c r="G5" i="7"/>
  <c r="H5" i="7"/>
  <c r="G6" i="7"/>
  <c r="H6" i="7"/>
  <c r="G7" i="7"/>
  <c r="H7" i="7"/>
  <c r="G8" i="7"/>
  <c r="H8" i="7"/>
  <c r="G9" i="7"/>
  <c r="H9" i="7"/>
  <c r="F3" i="7"/>
  <c r="F4" i="7"/>
  <c r="F5" i="7"/>
  <c r="F6" i="7"/>
  <c r="F7" i="7"/>
  <c r="F8" i="7"/>
  <c r="F9" i="7"/>
  <c r="F2" i="7"/>
  <c r="F2" i="6"/>
  <c r="F3" i="6"/>
  <c r="F4" i="6"/>
  <c r="F5" i="6"/>
  <c r="F6" i="6"/>
  <c r="F7" i="6"/>
  <c r="F8" i="6"/>
  <c r="E3" i="6"/>
  <c r="E4" i="6"/>
  <c r="E5" i="6"/>
  <c r="E6" i="6"/>
  <c r="E7" i="6"/>
  <c r="E8" i="6"/>
  <c r="E2" i="6"/>
  <c r="F3" i="5"/>
  <c r="F4" i="5"/>
  <c r="F5" i="5"/>
  <c r="F6" i="5"/>
  <c r="F7" i="5"/>
  <c r="F8" i="5"/>
  <c r="F9" i="5"/>
  <c r="E4" i="5"/>
  <c r="E5" i="5"/>
  <c r="E6" i="5"/>
  <c r="E7" i="5"/>
  <c r="E8" i="5"/>
  <c r="E9" i="5"/>
  <c r="E3" i="5"/>
  <c r="F2" i="4"/>
  <c r="F3" i="4"/>
  <c r="F4" i="4"/>
  <c r="F5" i="4"/>
  <c r="F6" i="4"/>
  <c r="F7" i="4"/>
  <c r="F8" i="4"/>
  <c r="F9" i="4"/>
  <c r="E3" i="4"/>
  <c r="E4" i="4"/>
  <c r="E5" i="4"/>
  <c r="E6" i="4"/>
  <c r="E7" i="4"/>
  <c r="E8" i="4"/>
  <c r="E9" i="4"/>
  <c r="E2" i="4"/>
  <c r="F2" i="3"/>
  <c r="F3" i="3"/>
  <c r="F4" i="3"/>
  <c r="F5" i="3"/>
  <c r="F6" i="3"/>
  <c r="F7" i="3"/>
  <c r="F8" i="3"/>
  <c r="E3" i="3"/>
  <c r="E4" i="3"/>
  <c r="E5" i="3"/>
  <c r="E6" i="3"/>
  <c r="E7" i="3"/>
  <c r="E8" i="3"/>
  <c r="E2" i="3"/>
  <c r="F2" i="2"/>
  <c r="F3" i="2"/>
  <c r="F4" i="2"/>
  <c r="F5" i="2"/>
  <c r="F6" i="2"/>
  <c r="F7" i="2"/>
  <c r="E3" i="2"/>
  <c r="E4" i="2"/>
  <c r="E5" i="2"/>
  <c r="E6" i="2"/>
  <c r="E7" i="2"/>
  <c r="E2" i="2"/>
  <c r="I19" i="13"/>
  <c r="K17" i="13"/>
  <c r="K16" i="13"/>
  <c r="K20" i="13" l="1"/>
  <c r="H15"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<sst xmlns="http://schemas.openxmlformats.org/spreadsheetml/2006/main" count="6368" uniqueCount="84">
  <si>
    <t>Month</t>
  </si>
  <si>
    <t>State</t>
  </si>
  <si>
    <t>Hospital</t>
  </si>
  <si>
    <t>Department</t>
  </si>
  <si>
    <t>Service</t>
  </si>
  <si>
    <t>Gender</t>
  </si>
  <si>
    <t>Patients Admitted</t>
  </si>
  <si>
    <t>Patients Discharged</t>
  </si>
  <si>
    <t>Mortality Count</t>
  </si>
  <si>
    <t>Avg Stay (Days)</t>
  </si>
  <si>
    <t>2023-04</t>
  </si>
  <si>
    <t>Delta</t>
  </si>
  <si>
    <t>Asaba General Hospital</t>
  </si>
  <si>
    <t>Pediatrics</t>
  </si>
  <si>
    <t>Admission</t>
  </si>
  <si>
    <t>Female</t>
  </si>
  <si>
    <t>FCT</t>
  </si>
  <si>
    <t>National Hospital Abuja</t>
  </si>
  <si>
    <t>Delivery</t>
  </si>
  <si>
    <t>Male</t>
  </si>
  <si>
    <t>2023-06</t>
  </si>
  <si>
    <t>Outpatient</t>
  </si>
  <si>
    <t>Surgery</t>
  </si>
  <si>
    <t>2023-10</t>
  </si>
  <si>
    <t>Anambra</t>
  </si>
  <si>
    <t>Amaku General Hospital</t>
  </si>
  <si>
    <t>Maternity</t>
  </si>
  <si>
    <t>Consultation</t>
  </si>
  <si>
    <t>Lagos</t>
  </si>
  <si>
    <t>LASUTH</t>
  </si>
  <si>
    <t>Lab Test</t>
  </si>
  <si>
    <t>2023-08</t>
  </si>
  <si>
    <t>Internal Medicine</t>
  </si>
  <si>
    <t>2023-01</t>
  </si>
  <si>
    <t>Edo</t>
  </si>
  <si>
    <t>Central Hospital Benin</t>
  </si>
  <si>
    <t>2023-03</t>
  </si>
  <si>
    <t>Kaduna</t>
  </si>
  <si>
    <t>Barau Dikko Hospital</t>
  </si>
  <si>
    <t>St Gerard Hospital</t>
  </si>
  <si>
    <t>Emergency</t>
  </si>
  <si>
    <t>Kano</t>
  </si>
  <si>
    <t>Murtala Mohammed Hospital</t>
  </si>
  <si>
    <t>2023-02</t>
  </si>
  <si>
    <t>Aminu Kano Teaching Hospital</t>
  </si>
  <si>
    <t>2023-05</t>
  </si>
  <si>
    <t>Borno</t>
  </si>
  <si>
    <t>Maiduguri Specialist Hospital</t>
  </si>
  <si>
    <t>Rivers</t>
  </si>
  <si>
    <t>Braithwaite Memorial Hospital</t>
  </si>
  <si>
    <t>2023-07</t>
  </si>
  <si>
    <t>UBTH</t>
  </si>
  <si>
    <t>Warri Central Hospital</t>
  </si>
  <si>
    <t>Medication</t>
  </si>
  <si>
    <t>UMTH</t>
  </si>
  <si>
    <t>2023-12</t>
  </si>
  <si>
    <t>Oyo</t>
  </si>
  <si>
    <t>UCH Ibadan</t>
  </si>
  <si>
    <t>Ikeja General Hospital</t>
  </si>
  <si>
    <t>2023-09</t>
  </si>
  <si>
    <t>Wuse District Hospital</t>
  </si>
  <si>
    <t>2023-11</t>
  </si>
  <si>
    <t>Adeoyo Maternity Hospital</t>
  </si>
  <si>
    <t>UPTH</t>
  </si>
  <si>
    <t>NAUTH Nnewi</t>
  </si>
  <si>
    <t>Row Labels</t>
  </si>
  <si>
    <t>Grand Total</t>
  </si>
  <si>
    <t>Sum of Patients Admitted</t>
  </si>
  <si>
    <t>Sum of Avg Stay (Days)</t>
  </si>
  <si>
    <t>Sum of Patients Discharged</t>
  </si>
  <si>
    <t>Sum of Mortality Count</t>
  </si>
  <si>
    <t>Months</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</si>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</sst>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2" fontId="0" fillId="0" borderId="0" xfId="0" applyNumberFormat="1"/>
    <xf numFmtId="10" fontId="0" fillId="0" borderId="0" xfId="0" applyNumberFormat="1"/>
    <xf numFmtId="14" fontId="0" fillId="0" borderId="0" xfId="0" applyNumberFormat="1"/>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Sheet1!$F$2</c:f>
              <c:strCache>
                <c:ptCount val="1"/>
                <c:pt idx="0">
                  <c:v>Sum of Patients Admitted</c:v>
                </c:pt>
              </c:strCache>
            </c:strRef>
          </c:tx>
          <c:spPr>
            <a:solidFill>
              <a:schemeClr val="accent1"/>
            </a:solidFill>
            <a:ln>
              <a:noFill/>
            </a:ln>
            <a:effectLst/>
          </c:spPr>
          <c:invertIfNegative val="0"/>
          <c:cat>
            <c:strRef>
              <c:f>Sheet1!$E$3:$E$7</c:f>
              <c:strCache>
                <c:ptCount val="5"/>
                <c:pt idx="0">
                  <c:v>January</c:v>
                </c:pt>
                <c:pt idx="1">
                  <c:v>February</c:v>
                </c:pt>
                <c:pt idx="2">
                  <c:v>March</c:v>
                </c:pt>
                <c:pt idx="3">
                  <c:v>April</c:v>
                </c:pt>
                <c:pt idx="4">
                  <c:v>May</c:v>
                </c:pt>
              </c:strCache>
            </c:strRef>
          </c:cat>
          <c:val>
            <c:numRef>
              <c:f>Sheet1!$F$3:$F$7</c:f>
              <c:numCache>
                <c:formatCode>General</c:formatCode>
                <c:ptCount val="5"/>
                <c:pt idx="0">
                  <c:v>399</c:v>
                </c:pt>
                <c:pt idx="1">
                  <c:v>349</c:v>
                </c:pt>
                <c:pt idx="2">
                  <c:v>459</c:v>
                </c:pt>
                <c:pt idx="3">
                  <c:v>425</c:v>
                </c:pt>
                <c:pt idx="4">
                  <c:v>410</c:v>
                </c:pt>
              </c:numCache>
            </c:numRef>
          </c:val>
          <c:extLst>
            <c:ext xmlns:c16="http://schemas.microsoft.com/office/drawing/2014/chart" uri="{C3380CC4-5D6E-409C-BE32-E72D297353CC}">
              <c16:uniqueId val="{00000000-1C79-4B84-A32C-1F590C0A20B6}"/>
            </c:ext>
          </c:extLst>
        </c:ser>
        <c:dLbls>
          <c:showLegendKey val="0"/>
          <c:showVal val="0"/>
          <c:showCatName val="0"/>
          <c:showSerName val="0"/>
          <c:showPercent val="0"/>
          <c:showBubbleSize val="0"/>
        </c:dLbls>
        <c:gapWidth val="219"/>
        <c:overlap val="-27"/>
        <c:axId val="1135444143"/>
        <c:axId val="1135444623"/>
      </c:barChart>
      <c:catAx>
        <c:axId val="113544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444623"/>
        <c:crosses val="autoZero"/>
        <c:auto val="1"/>
        <c:lblAlgn val="ctr"/>
        <c:lblOffset val="100"/>
        <c:noMultiLvlLbl val="0"/>
      </c:catAx>
      <c:valAx>
        <c:axId val="113544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44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Sheet2!$F$2</c:f>
              <c:strCache>
                <c:ptCount val="1"/>
                <c:pt idx="0">
                  <c:v>Sum of Patients Admitted</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84AC-4390-9959-D6719191B884}"/>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84AC-4390-9959-D6719191B884}"/>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84AC-4390-9959-D6719191B884}"/>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84AC-4390-9959-D6719191B884}"/>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84AC-4390-9959-D6719191B884}"/>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84AC-4390-9959-D6719191B884}"/>
              </c:ext>
            </c:extLst>
          </c:dPt>
          <c:cat>
            <c:strRef>
              <c:f>Sheet2!$E$3:$E$8</c:f>
              <c:strCache>
                <c:ptCount val="6"/>
                <c:pt idx="0">
                  <c:v>Borno</c:v>
                </c:pt>
                <c:pt idx="1">
                  <c:v>Edo</c:v>
                </c:pt>
                <c:pt idx="2">
                  <c:v>Kaduna</c:v>
                </c:pt>
                <c:pt idx="3">
                  <c:v>Lagos</c:v>
                </c:pt>
                <c:pt idx="4">
                  <c:v>Oyo</c:v>
                </c:pt>
                <c:pt idx="5">
                  <c:v>Rivers</c:v>
                </c:pt>
              </c:strCache>
            </c:strRef>
          </c:cat>
          <c:val>
            <c:numRef>
              <c:f>Sheet2!$F$3:$F$8</c:f>
              <c:numCache>
                <c:formatCode>General</c:formatCode>
                <c:ptCount val="6"/>
                <c:pt idx="0">
                  <c:v>486</c:v>
                </c:pt>
                <c:pt idx="1">
                  <c:v>572</c:v>
                </c:pt>
                <c:pt idx="2">
                  <c:v>629</c:v>
                </c:pt>
                <c:pt idx="3">
                  <c:v>469</c:v>
                </c:pt>
                <c:pt idx="4">
                  <c:v>469</c:v>
                </c:pt>
                <c:pt idx="5">
                  <c:v>549</c:v>
                </c:pt>
              </c:numCache>
            </c:numRef>
          </c:val>
          <c:extLst>
            <c:ext xmlns:c16="http://schemas.microsoft.com/office/drawing/2014/chart" uri="{C3380CC4-5D6E-409C-BE32-E72D297353CC}">
              <c16:uniqueId val="{00000000-5EEA-4C35-A0A9-95C7CAE237E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Sheet3!$F$2</c:f>
              <c:strCache>
                <c:ptCount val="1"/>
                <c:pt idx="0">
                  <c:v>Sum of Patients Admitted</c:v>
                </c:pt>
              </c:strCache>
            </c:strRef>
          </c:tx>
          <c:spPr>
            <a:solidFill>
              <a:schemeClr val="accent5"/>
            </a:solidFill>
            <a:ln>
              <a:noFill/>
            </a:ln>
            <a:effectLst/>
          </c:spPr>
          <c:invertIfNegative val="0"/>
          <c:cat>
            <c:strRef>
              <c:f>Sheet3!$E$3:$E$9</c:f>
              <c:strCache>
                <c:ptCount val="7"/>
                <c:pt idx="0">
                  <c:v>Wuse District Hospital</c:v>
                </c:pt>
                <c:pt idx="1">
                  <c:v>NAUTH Nnewi</c:v>
                </c:pt>
                <c:pt idx="2">
                  <c:v>Amaku General Hospital</c:v>
                </c:pt>
                <c:pt idx="3">
                  <c:v>Asaba General Hospital</c:v>
                </c:pt>
                <c:pt idx="4">
                  <c:v>Aminu Kano Teaching Hospital</c:v>
                </c:pt>
                <c:pt idx="5">
                  <c:v>LASUTH</c:v>
                </c:pt>
                <c:pt idx="6">
                  <c:v>Warri Central Hospital</c:v>
                </c:pt>
              </c:strCache>
            </c:strRef>
          </c:cat>
          <c:val>
            <c:numRef>
              <c:f>Sheet3!$F$3:$F$9</c:f>
              <c:numCache>
                <c:formatCode>General</c:formatCode>
                <c:ptCount val="7"/>
                <c:pt idx="0">
                  <c:v>169</c:v>
                </c:pt>
                <c:pt idx="1">
                  <c:v>180</c:v>
                </c:pt>
                <c:pt idx="2">
                  <c:v>192</c:v>
                </c:pt>
                <c:pt idx="3">
                  <c:v>195</c:v>
                </c:pt>
                <c:pt idx="4">
                  <c:v>212</c:v>
                </c:pt>
                <c:pt idx="5">
                  <c:v>214</c:v>
                </c:pt>
                <c:pt idx="6">
                  <c:v>218</c:v>
                </c:pt>
              </c:numCache>
            </c:numRef>
          </c:val>
          <c:extLst>
            <c:ext xmlns:c16="http://schemas.microsoft.com/office/drawing/2014/chart" uri="{C3380CC4-5D6E-409C-BE32-E72D297353CC}">
              <c16:uniqueId val="{00000000-B691-4BD3-AC4E-CAE71589F824}"/>
            </c:ext>
          </c:extLst>
        </c:ser>
        <c:dLbls>
          <c:showLegendKey val="0"/>
          <c:showVal val="0"/>
          <c:showCatName val="0"/>
          <c:showSerName val="0"/>
          <c:showPercent val="0"/>
          <c:showBubbleSize val="0"/>
        </c:dLbls>
        <c:gapWidth val="150"/>
        <c:overlap val="100"/>
        <c:axId val="1137436863"/>
        <c:axId val="1137431583"/>
      </c:barChart>
      <c:catAx>
        <c:axId val="1137436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431583"/>
        <c:crosses val="autoZero"/>
        <c:auto val="1"/>
        <c:lblAlgn val="ctr"/>
        <c:lblOffset val="100"/>
        <c:noMultiLvlLbl val="0"/>
      </c:catAx>
      <c:valAx>
        <c:axId val="1137431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436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Sheet4!$F$3</c:f>
              <c:strCache>
                <c:ptCount val="1"/>
                <c:pt idx="0">
                  <c:v>Sum of Patients Admitted</c:v>
                </c:pt>
              </c:strCache>
            </c:strRef>
          </c:tx>
          <c:spPr>
            <a:solidFill>
              <a:schemeClr val="accent1"/>
            </a:solidFill>
            <a:ln>
              <a:noFill/>
            </a:ln>
            <a:effectLst/>
          </c:spPr>
          <c:invertIfNegative val="0"/>
          <c:cat>
            <c:strRef>
              <c:f>Sheet4!$E$4:$E$9</c:f>
              <c:strCache>
                <c:ptCount val="6"/>
                <c:pt idx="0">
                  <c:v>Emergency</c:v>
                </c:pt>
                <c:pt idx="1">
                  <c:v>Internal Medicine</c:v>
                </c:pt>
                <c:pt idx="2">
                  <c:v>Maternity</c:v>
                </c:pt>
                <c:pt idx="3">
                  <c:v>Outpatient</c:v>
                </c:pt>
                <c:pt idx="4">
                  <c:v>Pediatrics</c:v>
                </c:pt>
                <c:pt idx="5">
                  <c:v>Surgery</c:v>
                </c:pt>
              </c:strCache>
            </c:strRef>
          </c:cat>
          <c:val>
            <c:numRef>
              <c:f>Sheet4!$F$4:$F$9</c:f>
              <c:numCache>
                <c:formatCode>General</c:formatCode>
                <c:ptCount val="6"/>
                <c:pt idx="0">
                  <c:v>820</c:v>
                </c:pt>
                <c:pt idx="1">
                  <c:v>772</c:v>
                </c:pt>
                <c:pt idx="2">
                  <c:v>819</c:v>
                </c:pt>
                <c:pt idx="3">
                  <c:v>689</c:v>
                </c:pt>
                <c:pt idx="4">
                  <c:v>900</c:v>
                </c:pt>
                <c:pt idx="5">
                  <c:v>852</c:v>
                </c:pt>
              </c:numCache>
            </c:numRef>
          </c:val>
          <c:extLst>
            <c:ext xmlns:c16="http://schemas.microsoft.com/office/drawing/2014/chart" uri="{C3380CC4-5D6E-409C-BE32-E72D297353CC}">
              <c16:uniqueId val="{00000000-4822-42AD-95AC-16457F2D9959}"/>
            </c:ext>
          </c:extLst>
        </c:ser>
        <c:dLbls>
          <c:showLegendKey val="0"/>
          <c:showVal val="0"/>
          <c:showCatName val="0"/>
          <c:showSerName val="0"/>
          <c:showPercent val="0"/>
          <c:showBubbleSize val="0"/>
        </c:dLbls>
        <c:gapWidth val="150"/>
        <c:overlap val="100"/>
        <c:axId val="1385907503"/>
        <c:axId val="1385916143"/>
      </c:barChart>
      <c:catAx>
        <c:axId val="138590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16143"/>
        <c:crosses val="autoZero"/>
        <c:auto val="1"/>
        <c:lblAlgn val="ctr"/>
        <c:lblOffset val="100"/>
        <c:noMultiLvlLbl val="0"/>
      </c:catAx>
      <c:valAx>
        <c:axId val="1385916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0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Sheet5!$F$2</c:f>
              <c:strCache>
                <c:ptCount val="1"/>
                <c:pt idx="0">
                  <c:v>Sum of Patients Admitted</c:v>
                </c:pt>
              </c:strCache>
            </c:strRef>
          </c:tx>
          <c:spPr>
            <a:solidFill>
              <a:schemeClr val="accent1"/>
            </a:solidFill>
            <a:ln>
              <a:noFill/>
            </a:ln>
            <a:effectLst/>
          </c:spPr>
          <c:invertIfNegative val="0"/>
          <c:cat>
            <c:strRef>
              <c:f>Sheet5!$E$3:$E$8</c:f>
              <c:strCache>
                <c:ptCount val="6"/>
                <c:pt idx="0">
                  <c:v>Admission</c:v>
                </c:pt>
                <c:pt idx="1">
                  <c:v>Consultation</c:v>
                </c:pt>
                <c:pt idx="2">
                  <c:v>Delivery</c:v>
                </c:pt>
                <c:pt idx="3">
                  <c:v>Lab Test</c:v>
                </c:pt>
                <c:pt idx="4">
                  <c:v>Medication</c:v>
                </c:pt>
                <c:pt idx="5">
                  <c:v>Surgery</c:v>
                </c:pt>
              </c:strCache>
            </c:strRef>
          </c:cat>
          <c:val>
            <c:numRef>
              <c:f>Sheet5!$F$3:$F$8</c:f>
              <c:numCache>
                <c:formatCode>General</c:formatCode>
                <c:ptCount val="6"/>
                <c:pt idx="0">
                  <c:v>814</c:v>
                </c:pt>
                <c:pt idx="1">
                  <c:v>734</c:v>
                </c:pt>
                <c:pt idx="2">
                  <c:v>891</c:v>
                </c:pt>
                <c:pt idx="3">
                  <c:v>763</c:v>
                </c:pt>
                <c:pt idx="4">
                  <c:v>735</c:v>
                </c:pt>
                <c:pt idx="5">
                  <c:v>915</c:v>
                </c:pt>
              </c:numCache>
            </c:numRef>
          </c:val>
          <c:extLst>
            <c:ext xmlns:c16="http://schemas.microsoft.com/office/drawing/2014/chart" uri="{C3380CC4-5D6E-409C-BE32-E72D297353CC}">
              <c16:uniqueId val="{00000000-AFA0-4652-A120-E353DE8B7A02}"/>
            </c:ext>
          </c:extLst>
        </c:ser>
        <c:dLbls>
          <c:showLegendKey val="0"/>
          <c:showVal val="0"/>
          <c:showCatName val="0"/>
          <c:showSerName val="0"/>
          <c:showPercent val="0"/>
          <c:showBubbleSize val="0"/>
        </c:dLbls>
        <c:gapWidth val="150"/>
        <c:overlap val="100"/>
        <c:axId val="1385904623"/>
        <c:axId val="1385916623"/>
      </c:barChart>
      <c:catAx>
        <c:axId val="138590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16623"/>
        <c:crosses val="autoZero"/>
        <c:auto val="1"/>
        <c:lblAlgn val="ctr"/>
        <c:lblOffset val="100"/>
        <c:noMultiLvlLbl val="0"/>
      </c:catAx>
      <c:valAx>
        <c:axId val="138591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0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Sheet6!$G$2</c:f>
              <c:strCache>
                <c:ptCount val="1"/>
                <c:pt idx="0">
                  <c:v>Sum of Patients Discharged</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Sheet6!$F$3:$F$9</c:f>
              <c:strCache>
                <c:ptCount val="7"/>
                <c:pt idx="0">
                  <c:v>Adeoyo Maternity Hospital</c:v>
                </c:pt>
                <c:pt idx="1">
                  <c:v>Amaku General Hospital</c:v>
                </c:pt>
                <c:pt idx="2">
                  <c:v>Aminu Kano Teaching Hospital</c:v>
                </c:pt>
                <c:pt idx="3">
                  <c:v>Asaba General Hospital</c:v>
                </c:pt>
                <c:pt idx="4">
                  <c:v>Barau Dikko Hospital</c:v>
                </c:pt>
                <c:pt idx="5">
                  <c:v>Braithwaite Memorial Hospital</c:v>
                </c:pt>
                <c:pt idx="6">
                  <c:v>Central Hospital Benin</c:v>
                </c:pt>
              </c:strCache>
            </c:strRef>
          </c:cat>
          <c:val>
            <c:numRef>
              <c:f>Sheet6!$G$3:$G$9</c:f>
              <c:numCache>
                <c:formatCode>General</c:formatCode>
                <c:ptCount val="7"/>
                <c:pt idx="0">
                  <c:v>208</c:v>
                </c:pt>
                <c:pt idx="1">
                  <c:v>175</c:v>
                </c:pt>
                <c:pt idx="2">
                  <c:v>191</c:v>
                </c:pt>
                <c:pt idx="3">
                  <c:v>175</c:v>
                </c:pt>
                <c:pt idx="4">
                  <c:v>278</c:v>
                </c:pt>
                <c:pt idx="5">
                  <c:v>278</c:v>
                </c:pt>
                <c:pt idx="6">
                  <c:v>276</c:v>
                </c:pt>
              </c:numCache>
            </c:numRef>
          </c:val>
          <c:extLst>
            <c:ext xmlns:c16="http://schemas.microsoft.com/office/drawing/2014/chart" uri="{C3380CC4-5D6E-409C-BE32-E72D297353CC}">
              <c16:uniqueId val="{00000000-BFC4-4E52-B629-A69BE0986816}"/>
            </c:ext>
          </c:extLst>
        </c:ser>
        <c:ser>
          <c:idx val="1"/>
          <c:order val="1"/>
          <c:tx>
            <c:strRef>
              <c:f>Sheet6!$H$2</c:f>
              <c:strCache>
                <c:ptCount val="1"/>
                <c:pt idx="0">
                  <c:v>Sum of Patients Admitted</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Sheet6!$F$3:$F$9</c:f>
              <c:strCache>
                <c:ptCount val="7"/>
                <c:pt idx="0">
                  <c:v>Adeoyo Maternity Hospital</c:v>
                </c:pt>
                <c:pt idx="1">
                  <c:v>Amaku General Hospital</c:v>
                </c:pt>
                <c:pt idx="2">
                  <c:v>Aminu Kano Teaching Hospital</c:v>
                </c:pt>
                <c:pt idx="3">
                  <c:v>Asaba General Hospital</c:v>
                </c:pt>
                <c:pt idx="4">
                  <c:v>Barau Dikko Hospital</c:v>
                </c:pt>
                <c:pt idx="5">
                  <c:v>Braithwaite Memorial Hospital</c:v>
                </c:pt>
                <c:pt idx="6">
                  <c:v>Central Hospital Benin</c:v>
                </c:pt>
              </c:strCache>
            </c:strRef>
          </c:cat>
          <c:val>
            <c:numRef>
              <c:f>Sheet6!$H$3:$H$9</c:f>
              <c:numCache>
                <c:formatCode>General</c:formatCode>
                <c:ptCount val="7"/>
                <c:pt idx="0">
                  <c:v>237</c:v>
                </c:pt>
                <c:pt idx="1">
                  <c:v>192</c:v>
                </c:pt>
                <c:pt idx="2">
                  <c:v>212</c:v>
                </c:pt>
                <c:pt idx="3">
                  <c:v>195</c:v>
                </c:pt>
                <c:pt idx="4">
                  <c:v>311</c:v>
                </c:pt>
                <c:pt idx="5">
                  <c:v>300</c:v>
                </c:pt>
                <c:pt idx="6">
                  <c:v>318</c:v>
                </c:pt>
              </c:numCache>
            </c:numRef>
          </c:val>
          <c:extLst>
            <c:ext xmlns:c16="http://schemas.microsoft.com/office/drawing/2014/chart" uri="{C3380CC4-5D6E-409C-BE32-E72D297353CC}">
              <c16:uniqueId val="{00000001-BFC4-4E52-B629-A69BE0986816}"/>
            </c:ext>
          </c:extLst>
        </c:ser>
        <c:dLbls>
          <c:dLblPos val="outEnd"/>
          <c:showLegendKey val="0"/>
          <c:showVal val="1"/>
          <c:showCatName val="0"/>
          <c:showSerName val="0"/>
          <c:showPercent val="0"/>
          <c:showBubbleSize val="0"/>
        </c:dLbls>
        <c:gapWidth val="219"/>
        <c:overlap val="-27"/>
        <c:axId val="1385909903"/>
        <c:axId val="1385906543"/>
      </c:barChart>
      <c:catAx>
        <c:axId val="138590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06543"/>
        <c:crosses val="autoZero"/>
        <c:auto val="1"/>
        <c:lblAlgn val="ctr"/>
        <c:lblOffset val="100"/>
        <c:noMultiLvlLbl val="0"/>
      </c:catAx>
      <c:valAx>
        <c:axId val="138590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0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clustered"/>
        <c:varyColors val="0"/>
        <c:ser>
          <c:idx val="0"/>
          <c:order val="0"/>
          <c:tx>
            <c:strRef>
              <c:f>Sheet1!$F$2</c:f>
              <c:strCache>
                <c:ptCount val="1"/>
                <c:pt idx="0">
                  <c:v>Sum of Patients Admitted</c:v>
                </c:pt>
              </c:strCache>
            </c:strRef>
          </c:tx>
          <c:spPr>
            <a:solidFill>
              <a:schemeClr val="accent5"/>
            </a:solidFill>
            <a:ln>
              <a:noFill/>
            </a:ln>
            <a:effectLst/>
          </c:spPr>
          <c:invertIfNegative val="0"/>
          <c:cat>
            <c:strRef>
              <c:f>Sheet1!$E$3:$E$7</c:f>
              <c:strCache>
                <c:ptCount val="5"/>
                <c:pt idx="0">
                  <c:v>January</c:v>
                </c:pt>
                <c:pt idx="1">
                  <c:v>February</c:v>
                </c:pt>
                <c:pt idx="2">
                  <c:v>March</c:v>
                </c:pt>
                <c:pt idx="3">
                  <c:v>April</c:v>
                </c:pt>
                <c:pt idx="4">
                  <c:v>May</c:v>
                </c:pt>
              </c:strCache>
            </c:strRef>
          </c:cat>
          <c:val>
            <c:numRef>
              <c:f>Sheet1!$F$3:$F$7</c:f>
              <c:numCache>
                <c:formatCode>General</c:formatCode>
                <c:ptCount val="5"/>
                <c:pt idx="0">
                  <c:v>399</c:v>
                </c:pt>
                <c:pt idx="1">
                  <c:v>349</c:v>
                </c:pt>
                <c:pt idx="2">
                  <c:v>459</c:v>
                </c:pt>
                <c:pt idx="3">
                  <c:v>425</c:v>
                </c:pt>
                <c:pt idx="4">
                  <c:v>410</c:v>
                </c:pt>
              </c:numCache>
            </c:numRef>
          </c:val>
          <c:extLst>
            <c:ext xmlns:c16="http://schemas.microsoft.com/office/drawing/2014/chart" uri="{C3380CC4-5D6E-409C-BE32-E72D297353CC}">
              <c16:uniqueId val="{00000000-CBBB-4B7B-95D6-9F18B17238E2}"/>
            </c:ext>
          </c:extLst>
        </c:ser>
        <c:dLbls>
          <c:showLegendKey val="0"/>
          <c:showVal val="0"/>
          <c:showCatName val="0"/>
          <c:showSerName val="0"/>
          <c:showPercent val="0"/>
          <c:showBubbleSize val="0"/>
        </c:dLbls>
        <c:gapWidth val="219"/>
        <c:overlap val="-27"/>
        <c:axId val="1135444143"/>
        <c:axId val="1135444623"/>
      </c:barChart>
      <c:catAx>
        <c:axId val="113544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444623"/>
        <c:crosses val="autoZero"/>
        <c:auto val="1"/>
        <c:lblAlgn val="ctr"/>
        <c:lblOffset val="100"/>
        <c:noMultiLvlLbl val="0"/>
      </c:catAx>
      <c:valAx>
        <c:axId val="113544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44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pieChart>
        <c:varyColors val="1"/>
        <c:ser>
          <c:idx val="0"/>
          <c:order val="0"/>
          <c:tx>
            <c:strRef>
              <c:f>Sheet2!$F$2</c:f>
              <c:strCache>
                <c:ptCount val="1"/>
                <c:pt idx="0">
                  <c:v>Sum of Patients Admitted</c:v>
                </c:pt>
              </c:strCache>
            </c:strRef>
          </c:tx>
          <c:dPt>
            <c:idx val="0"/>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1-2231-4B82-A194-9DAEAD15ABC8}"/>
              </c:ext>
            </c:extLst>
          </c:dPt>
          <c:dPt>
            <c:idx val="1"/>
            <c:bubble3D val="0"/>
            <c:spPr>
              <a:solidFill>
                <a:schemeClr val="accent5">
                  <a:shade val="70000"/>
                </a:schemeClr>
              </a:solidFill>
              <a:ln w="19050">
                <a:solidFill>
                  <a:schemeClr val="lt1"/>
                </a:solidFill>
              </a:ln>
              <a:effectLst/>
            </c:spPr>
            <c:extLst>
              <c:ext xmlns:c16="http://schemas.microsoft.com/office/drawing/2014/chart" uri="{C3380CC4-5D6E-409C-BE32-E72D297353CC}">
                <c16:uniqueId val="{00000003-2231-4B82-A194-9DAEAD15ABC8}"/>
              </c:ext>
            </c:extLst>
          </c:dPt>
          <c:dPt>
            <c:idx val="2"/>
            <c:bubble3D val="0"/>
            <c:spPr>
              <a:solidFill>
                <a:schemeClr val="accent5">
                  <a:shade val="90000"/>
                </a:schemeClr>
              </a:solidFill>
              <a:ln w="19050">
                <a:solidFill>
                  <a:schemeClr val="lt1"/>
                </a:solidFill>
              </a:ln>
              <a:effectLst/>
            </c:spPr>
            <c:extLst>
              <c:ext xmlns:c16="http://schemas.microsoft.com/office/drawing/2014/chart" uri="{C3380CC4-5D6E-409C-BE32-E72D297353CC}">
                <c16:uniqueId val="{00000005-2231-4B82-A194-9DAEAD15ABC8}"/>
              </c:ext>
            </c:extLst>
          </c:dPt>
          <c:dPt>
            <c:idx val="3"/>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07-2231-4B82-A194-9DAEAD15ABC8}"/>
              </c:ext>
            </c:extLst>
          </c:dPt>
          <c:dPt>
            <c:idx val="4"/>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09-2231-4B82-A194-9DAEAD15ABC8}"/>
              </c:ext>
            </c:extLst>
          </c:dPt>
          <c:dPt>
            <c:idx val="5"/>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0B-2231-4B82-A194-9DAEAD15AB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Sheet2!$E$3:$E$8</c:f>
              <c:strCache>
                <c:ptCount val="6"/>
                <c:pt idx="0">
                  <c:v>Borno</c:v>
                </c:pt>
                <c:pt idx="1">
                  <c:v>Edo</c:v>
                </c:pt>
                <c:pt idx="2">
                  <c:v>Kaduna</c:v>
                </c:pt>
                <c:pt idx="3">
                  <c:v>Lagos</c:v>
                </c:pt>
                <c:pt idx="4">
                  <c:v>Oyo</c:v>
                </c:pt>
                <c:pt idx="5">
                  <c:v>Rivers</c:v>
                </c:pt>
              </c:strCache>
            </c:strRef>
          </c:cat>
          <c:val>
            <c:numRef>
              <c:f>Sheet2!$F$3:$F$8</c:f>
              <c:numCache>
                <c:formatCode>General</c:formatCode>
                <c:ptCount val="6"/>
                <c:pt idx="0">
                  <c:v>486</c:v>
                </c:pt>
                <c:pt idx="1">
                  <c:v>572</c:v>
                </c:pt>
                <c:pt idx="2">
                  <c:v>629</c:v>
                </c:pt>
                <c:pt idx="3">
                  <c:v>469</c:v>
                </c:pt>
                <c:pt idx="4">
                  <c:v>469</c:v>
                </c:pt>
                <c:pt idx="5">
                  <c:v>549</c:v>
                </c:pt>
              </c:numCache>
            </c:numRef>
          </c:val>
          <c:extLst>
            <c:ext xmlns:c16="http://schemas.microsoft.com/office/drawing/2014/chart" uri="{C3380CC4-5D6E-409C-BE32-E72D297353CC}">
              <c16:uniqueId val="{0000000C-2231-4B82-A194-9DAEAD15AB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bar"/>
        <c:grouping val="stacked"/>
        <c:varyColors val="0"/>
        <c:ser>
          <c:idx val="0"/>
          <c:order val="0"/>
          <c:tx>
            <c:strRef>
              <c:f>Sheet3!$F$2</c:f>
              <c:strCache>
                <c:ptCount val="1"/>
                <c:pt idx="0">
                  <c:v>Sum of Patients Admitted</c:v>
                </c:pt>
              </c:strCache>
            </c:strRef>
          </c:tx>
          <c:spPr>
            <a:solidFill>
              <a:schemeClr val="accent5"/>
            </a:solidFill>
            <a:ln>
              <a:noFill/>
            </a:ln>
            <a:effectLst/>
          </c:spPr>
          <c:invertIfNegative val="0"/>
          <c:cat>
            <c:strRef>
              <c:f>Sheet3!$E$3:$E$9</c:f>
              <c:strCache>
                <c:ptCount val="7"/>
                <c:pt idx="0">
                  <c:v>Wuse District Hospital</c:v>
                </c:pt>
                <c:pt idx="1">
                  <c:v>NAUTH Nnewi</c:v>
                </c:pt>
                <c:pt idx="2">
                  <c:v>Amaku General Hospital</c:v>
                </c:pt>
                <c:pt idx="3">
                  <c:v>Asaba General Hospital</c:v>
                </c:pt>
                <c:pt idx="4">
                  <c:v>Aminu Kano Teaching Hospital</c:v>
                </c:pt>
                <c:pt idx="5">
                  <c:v>LASUTH</c:v>
                </c:pt>
                <c:pt idx="6">
                  <c:v>Warri Central Hospital</c:v>
                </c:pt>
              </c:strCache>
            </c:strRef>
          </c:cat>
          <c:val>
            <c:numRef>
              <c:f>Sheet3!$F$3:$F$9</c:f>
              <c:numCache>
                <c:formatCode>General</c:formatCode>
                <c:ptCount val="7"/>
                <c:pt idx="0">
                  <c:v>169</c:v>
                </c:pt>
                <c:pt idx="1">
                  <c:v>180</c:v>
                </c:pt>
                <c:pt idx="2">
                  <c:v>192</c:v>
                </c:pt>
                <c:pt idx="3">
                  <c:v>195</c:v>
                </c:pt>
                <c:pt idx="4">
                  <c:v>212</c:v>
                </c:pt>
                <c:pt idx="5">
                  <c:v>214</c:v>
                </c:pt>
                <c:pt idx="6">
                  <c:v>218</c:v>
                </c:pt>
              </c:numCache>
            </c:numRef>
          </c:val>
          <c:extLst>
            <c:ext xmlns:c16="http://schemas.microsoft.com/office/drawing/2014/chart" uri="{C3380CC4-5D6E-409C-BE32-E72D297353CC}">
              <c16:uniqueId val="{00000000-E141-4197-A306-A4584A4ECC60}"/>
            </c:ext>
          </c:extLst>
        </c:ser>
        <c:dLbls>
          <c:showLegendKey val="0"/>
          <c:showVal val="0"/>
          <c:showCatName val="0"/>
          <c:showSerName val="0"/>
          <c:showPercent val="0"/>
          <c:showBubbleSize val="0"/>
        </c:dLbls>
        <c:gapWidth val="150"/>
        <c:overlap val="100"/>
        <c:axId val="1137436863"/>
        <c:axId val="1137431583"/>
      </c:barChart>
      <c:catAx>
        <c:axId val="1137436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431583"/>
        <c:crosses val="autoZero"/>
        <c:auto val="1"/>
        <c:lblAlgn val="ctr"/>
        <c:lblOffset val="100"/>
        <c:noMultiLvlLbl val="0"/>
      </c:catAx>
      <c:valAx>
        <c:axId val="1137431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436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bar"/>
        <c:grouping val="stacked"/>
        <c:varyColors val="0"/>
        <c:ser>
          <c:idx val="0"/>
          <c:order val="0"/>
          <c:tx>
            <c:strRef>
              <c:f>Sheet4!$F$3</c:f>
              <c:strCache>
                <c:ptCount val="1"/>
                <c:pt idx="0">
                  <c:v>Sum of Patients Admitted</c:v>
                </c:pt>
              </c:strCache>
            </c:strRef>
          </c:tx>
          <c:spPr>
            <a:solidFill>
              <a:schemeClr val="accent5"/>
            </a:solidFill>
            <a:ln>
              <a:noFill/>
            </a:ln>
            <a:effectLst/>
          </c:spPr>
          <c:invertIfNegative val="0"/>
          <c:cat>
            <c:strRef>
              <c:f>Sheet4!$E$4:$E$9</c:f>
              <c:strCache>
                <c:ptCount val="6"/>
                <c:pt idx="0">
                  <c:v>Emergency</c:v>
                </c:pt>
                <c:pt idx="1">
                  <c:v>Internal Medicine</c:v>
                </c:pt>
                <c:pt idx="2">
                  <c:v>Maternity</c:v>
                </c:pt>
                <c:pt idx="3">
                  <c:v>Outpatient</c:v>
                </c:pt>
                <c:pt idx="4">
                  <c:v>Pediatrics</c:v>
                </c:pt>
                <c:pt idx="5">
                  <c:v>Surgery</c:v>
                </c:pt>
              </c:strCache>
            </c:strRef>
          </c:cat>
          <c:val>
            <c:numRef>
              <c:f>Sheet4!$F$4:$F$9</c:f>
              <c:numCache>
                <c:formatCode>General</c:formatCode>
                <c:ptCount val="6"/>
                <c:pt idx="0">
                  <c:v>820</c:v>
                </c:pt>
                <c:pt idx="1">
                  <c:v>772</c:v>
                </c:pt>
                <c:pt idx="2">
                  <c:v>819</c:v>
                </c:pt>
                <c:pt idx="3">
                  <c:v>689</c:v>
                </c:pt>
                <c:pt idx="4">
                  <c:v>900</c:v>
                </c:pt>
                <c:pt idx="5">
                  <c:v>852</c:v>
                </c:pt>
              </c:numCache>
            </c:numRef>
          </c:val>
          <c:extLst>
            <c:ext xmlns:c16="http://schemas.microsoft.com/office/drawing/2014/chart" uri="{C3380CC4-5D6E-409C-BE32-E72D297353CC}">
              <c16:uniqueId val="{00000000-62E6-414D-9DF9-8459549BCAE9}"/>
            </c:ext>
          </c:extLst>
        </c:ser>
        <c:dLbls>
          <c:showLegendKey val="0"/>
          <c:showVal val="0"/>
          <c:showCatName val="0"/>
          <c:showSerName val="0"/>
          <c:showPercent val="0"/>
          <c:showBubbleSize val="0"/>
        </c:dLbls>
        <c:gapWidth val="150"/>
        <c:overlap val="100"/>
        <c:axId val="1385907503"/>
        <c:axId val="1385916143"/>
      </c:barChart>
      <c:catAx>
        <c:axId val="138590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16143"/>
        <c:crosses val="autoZero"/>
        <c:auto val="1"/>
        <c:lblAlgn val="ctr"/>
        <c:lblOffset val="100"/>
        <c:noMultiLvlLbl val="0"/>
      </c:catAx>
      <c:valAx>
        <c:axId val="1385916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0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stacked"/>
        <c:varyColors val="0"/>
        <c:ser>
          <c:idx val="0"/>
          <c:order val="0"/>
          <c:tx>
            <c:strRef>
              <c:f>Sheet5!$F$2</c:f>
              <c:strCache>
                <c:ptCount val="1"/>
                <c:pt idx="0">
                  <c:v>Sum of Patients Admitted</c:v>
                </c:pt>
              </c:strCache>
            </c:strRef>
          </c:tx>
          <c:spPr>
            <a:solidFill>
              <a:schemeClr val="accent5"/>
            </a:solidFill>
            <a:ln>
              <a:noFill/>
            </a:ln>
            <a:effectLst/>
          </c:spPr>
          <c:invertIfNegative val="0"/>
          <c:cat>
            <c:strRef>
              <c:f>Sheet5!$E$3:$E$8</c:f>
              <c:strCache>
                <c:ptCount val="6"/>
                <c:pt idx="0">
                  <c:v>Admission</c:v>
                </c:pt>
                <c:pt idx="1">
                  <c:v>Consultation</c:v>
                </c:pt>
                <c:pt idx="2">
                  <c:v>Delivery</c:v>
                </c:pt>
                <c:pt idx="3">
                  <c:v>Lab Test</c:v>
                </c:pt>
                <c:pt idx="4">
                  <c:v>Medication</c:v>
                </c:pt>
                <c:pt idx="5">
                  <c:v>Surgery</c:v>
                </c:pt>
              </c:strCache>
            </c:strRef>
          </c:cat>
          <c:val>
            <c:numRef>
              <c:f>Sheet5!$F$3:$F$8</c:f>
              <c:numCache>
                <c:formatCode>General</c:formatCode>
                <c:ptCount val="6"/>
                <c:pt idx="0">
                  <c:v>814</c:v>
                </c:pt>
                <c:pt idx="1">
                  <c:v>734</c:v>
                </c:pt>
                <c:pt idx="2">
                  <c:v>891</c:v>
                </c:pt>
                <c:pt idx="3">
                  <c:v>763</c:v>
                </c:pt>
                <c:pt idx="4">
                  <c:v>735</c:v>
                </c:pt>
                <c:pt idx="5">
                  <c:v>915</c:v>
                </c:pt>
              </c:numCache>
            </c:numRef>
          </c:val>
          <c:extLst>
            <c:ext xmlns:c16="http://schemas.microsoft.com/office/drawing/2014/chart" uri="{C3380CC4-5D6E-409C-BE32-E72D297353CC}">
              <c16:uniqueId val="{00000000-2D1D-4F18-9080-149FFA534259}"/>
            </c:ext>
          </c:extLst>
        </c:ser>
        <c:dLbls>
          <c:showLegendKey val="0"/>
          <c:showVal val="0"/>
          <c:showCatName val="0"/>
          <c:showSerName val="0"/>
          <c:showPercent val="0"/>
          <c:showBubbleSize val="0"/>
        </c:dLbls>
        <c:gapWidth val="150"/>
        <c:overlap val="100"/>
        <c:axId val="1385904623"/>
        <c:axId val="1385916623"/>
      </c:barChart>
      <c:catAx>
        <c:axId val="138590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16623"/>
        <c:crosses val="autoZero"/>
        <c:auto val="1"/>
        <c:lblAlgn val="ctr"/>
        <c:lblOffset val="100"/>
        <c:noMultiLvlLbl val="0"/>
      </c:catAx>
      <c:valAx>
        <c:axId val="138591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0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clustered"/>
        <c:varyColors val="0"/>
        <c:ser>
          <c:idx val="0"/>
          <c:order val="0"/>
          <c:tx>
            <c:strRef>
              <c:f>Sheet6!$G$2</c:f>
              <c:strCache>
                <c:ptCount val="1"/>
                <c:pt idx="0">
                  <c:v>Sum of Patients Discharged</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Sheet6!$F$3:$F$9</c:f>
              <c:strCache>
                <c:ptCount val="7"/>
                <c:pt idx="0">
                  <c:v>Adeoyo Maternity Hospital</c:v>
                </c:pt>
                <c:pt idx="1">
                  <c:v>Amaku General Hospital</c:v>
                </c:pt>
                <c:pt idx="2">
                  <c:v>Aminu Kano Teaching Hospital</c:v>
                </c:pt>
                <c:pt idx="3">
                  <c:v>Asaba General Hospital</c:v>
                </c:pt>
                <c:pt idx="4">
                  <c:v>Barau Dikko Hospital</c:v>
                </c:pt>
                <c:pt idx="5">
                  <c:v>Braithwaite Memorial Hospital</c:v>
                </c:pt>
                <c:pt idx="6">
                  <c:v>Central Hospital Benin</c:v>
                </c:pt>
              </c:strCache>
            </c:strRef>
          </c:cat>
          <c:val>
            <c:numRef>
              <c:f>Sheet6!$G$3:$G$9</c:f>
              <c:numCache>
                <c:formatCode>General</c:formatCode>
                <c:ptCount val="7"/>
                <c:pt idx="0">
                  <c:v>208</c:v>
                </c:pt>
                <c:pt idx="1">
                  <c:v>175</c:v>
                </c:pt>
                <c:pt idx="2">
                  <c:v>191</c:v>
                </c:pt>
                <c:pt idx="3">
                  <c:v>175</c:v>
                </c:pt>
                <c:pt idx="4">
                  <c:v>278</c:v>
                </c:pt>
                <c:pt idx="5">
                  <c:v>278</c:v>
                </c:pt>
                <c:pt idx="6">
                  <c:v>276</c:v>
                </c:pt>
              </c:numCache>
            </c:numRef>
          </c:val>
          <c:extLst>
            <c:ext xmlns:c16="http://schemas.microsoft.com/office/drawing/2014/chart" uri="{C3380CC4-5D6E-409C-BE32-E72D297353CC}">
              <c16:uniqueId val="{00000000-D367-41AB-BFF5-7EAEA9F46245}"/>
            </c:ext>
          </c:extLst>
        </c:ser>
        <c:ser>
          <c:idx val="1"/>
          <c:order val="1"/>
          <c:tx>
            <c:strRef>
              <c:f>Sheet6!$H$2</c:f>
              <c:strCache>
                <c:ptCount val="1"/>
                <c:pt idx="0">
                  <c:v>Sum of Patients Admitted</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Sheet6!$F$3:$F$9</c:f>
              <c:strCache>
                <c:ptCount val="7"/>
                <c:pt idx="0">
                  <c:v>Adeoyo Maternity Hospital</c:v>
                </c:pt>
                <c:pt idx="1">
                  <c:v>Amaku General Hospital</c:v>
                </c:pt>
                <c:pt idx="2">
                  <c:v>Aminu Kano Teaching Hospital</c:v>
                </c:pt>
                <c:pt idx="3">
                  <c:v>Asaba General Hospital</c:v>
                </c:pt>
                <c:pt idx="4">
                  <c:v>Barau Dikko Hospital</c:v>
                </c:pt>
                <c:pt idx="5">
                  <c:v>Braithwaite Memorial Hospital</c:v>
                </c:pt>
                <c:pt idx="6">
                  <c:v>Central Hospital Benin</c:v>
                </c:pt>
              </c:strCache>
            </c:strRef>
          </c:cat>
          <c:val>
            <c:numRef>
              <c:f>Sheet6!$H$3:$H$9</c:f>
              <c:numCache>
                <c:formatCode>General</c:formatCode>
                <c:ptCount val="7"/>
                <c:pt idx="0">
                  <c:v>237</c:v>
                </c:pt>
                <c:pt idx="1">
                  <c:v>192</c:v>
                </c:pt>
                <c:pt idx="2">
                  <c:v>212</c:v>
                </c:pt>
                <c:pt idx="3">
                  <c:v>195</c:v>
                </c:pt>
                <c:pt idx="4">
                  <c:v>311</c:v>
                </c:pt>
                <c:pt idx="5">
                  <c:v>300</c:v>
                </c:pt>
                <c:pt idx="6">
                  <c:v>318</c:v>
                </c:pt>
              </c:numCache>
            </c:numRef>
          </c:val>
          <c:extLst>
            <c:ext xmlns:c16="http://schemas.microsoft.com/office/drawing/2014/chart" uri="{C3380CC4-5D6E-409C-BE32-E72D297353CC}">
              <c16:uniqueId val="{00000001-D367-41AB-BFF5-7EAEA9F46245}"/>
            </c:ext>
          </c:extLst>
        </c:ser>
        <c:dLbls>
          <c:dLblPos val="outEnd"/>
          <c:showLegendKey val="0"/>
          <c:showVal val="1"/>
          <c:showCatName val="0"/>
          <c:showSerName val="0"/>
          <c:showPercent val="0"/>
          <c:showBubbleSize val="0"/>
        </c:dLbls>
        <c:gapWidth val="219"/>
        <c:overlap val="-27"/>
        <c:axId val="1385909903"/>
        <c:axId val="1385906543"/>
      </c:barChart>
      <c:catAx>
        <c:axId val="138590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06543"/>
        <c:crosses val="autoZero"/>
        <c:auto val="1"/>
        <c:lblAlgn val="ctr"/>
        <c:lblOffset val="100"/>
        <c:noMultiLvlLbl val="0"/>
      </c:catAx>
      <c:valAx>
        <c:axId val="138590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0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28575</xdr:colOff>
      <xdr:row>4</xdr:row>
      <xdr:rowOff>69849</xdr:rowOff>
    </xdr:from>
    <xdr:to>
      <xdr:col>9</xdr:col>
      <xdr:colOff>158750</xdr:colOff>
      <xdr:row>17</xdr:row>
      <xdr:rowOff>47624</xdr:rowOff>
    </xdr:to>
    <xdr:graphicFrame macro="">
      <xdr:nvGraphicFramePr>
        <xdr:cNvPr id="3" name="Chart 2">
          <a:extLst>
            <a:ext uri="{FF2B5EF4-FFF2-40B4-BE49-F238E27FC236}">
              <a16:creationId xmlns:a16="http://schemas.microsoft.com/office/drawing/2014/main" id="{528E16DD-C741-11C1-7322-8139E126B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450850</xdr:colOff>
      <xdr:row>1</xdr:row>
      <xdr:rowOff>57150</xdr:rowOff>
    </xdr:from>
    <xdr:to>
      <xdr:col>13</xdr:col>
      <xdr:colOff>450850</xdr:colOff>
      <xdr:row>15</xdr:row>
      <xdr:rowOff>98422</xdr:rowOff>
    </xdr:to>
    <mc:AlternateContent xmlns:mc="http://schemas.openxmlformats.org/markup-compatibility/2006" xmlns:a14="http://schemas.microsoft.com/office/drawing/2010/main">
      <mc:Choice Requires="a14">
        <xdr:graphicFrame macro="">
          <xdr:nvGraphicFramePr>
            <xdr:cNvPr id="7" name="Hospital">
              <a:extLst>
                <a:ext uri="{FF2B5EF4-FFF2-40B4-BE49-F238E27FC236}">
                  <a16:creationId xmlns:a16="http://schemas.microsoft.com/office/drawing/2014/main" id="{82393EA7-6D4D-B617-3EC1-52F66D3ED5D7}"/>
                </a:ext>
              </a:extLst>
            </xdr:cNvPr>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mlns="">
        <xdr:sp macro="" textlink="">
          <xdr:nvSpPr>
            <xdr:cNvPr id="0" name=""/>
            <xdr:cNvSpPr>
              <a:spLocks noTextEdit="1"/>
            </xdr:cNvSpPr>
          </xdr:nvSpPr>
          <xdr:spPr>
            <a:xfrm>
              <a:off x="8712200" y="2413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381000</xdr:colOff>
      <xdr:row>3</xdr:row>
      <xdr:rowOff>25400</xdr:rowOff>
    </xdr:from>
    <xdr:to>
      <xdr:col>5</xdr:col>
      <xdr:colOff>914400</xdr:colOff>
      <xdr:row>17</xdr:row>
      <xdr:rowOff>66672</xdr:rowOff>
    </xdr:to>
    <mc:AlternateContent xmlns:mc="http://schemas.openxmlformats.org/markup-compatibility/2006" xmlns:a14="http://schemas.microsoft.com/office/drawing/2010/main">
      <mc:Choice Requires="a14">
        <xdr:graphicFrame macro="">
          <xdr:nvGraphicFramePr>
            <xdr:cNvPr id="2" name="Months">
              <a:extLst>
                <a:ext uri="{FF2B5EF4-FFF2-40B4-BE49-F238E27FC236}">
                  <a16:creationId xmlns:a16="http://schemas.microsoft.com/office/drawing/2014/main" id="{1E20C940-C574-A4FE-5A75-FCDE090CDC66}"/>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416300" y="5778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835025</xdr:colOff>
      <xdr:row>2</xdr:row>
      <xdr:rowOff>66675</xdr:rowOff>
    </xdr:from>
    <xdr:to>
      <xdr:col>7</xdr:col>
      <xdr:colOff>454025</xdr:colOff>
      <xdr:row>17</xdr:row>
      <xdr:rowOff>47625</xdr:rowOff>
    </xdr:to>
    <xdr:graphicFrame macro="">
      <xdr:nvGraphicFramePr>
        <xdr:cNvPr id="4" name="Chart 3">
          <a:extLst>
            <a:ext uri="{FF2B5EF4-FFF2-40B4-BE49-F238E27FC236}">
              <a16:creationId xmlns:a16="http://schemas.microsoft.com/office/drawing/2014/main" id="{A700A5B1-4A9F-1789-0215-D16D5515F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733425</xdr:colOff>
      <xdr:row>11</xdr:row>
      <xdr:rowOff>22225</xdr:rowOff>
    </xdr:from>
    <xdr:to>
      <xdr:col>9</xdr:col>
      <xdr:colOff>212725</xdr:colOff>
      <xdr:row>26</xdr:row>
      <xdr:rowOff>3175</xdr:rowOff>
    </xdr:to>
    <xdr:graphicFrame macro="">
      <xdr:nvGraphicFramePr>
        <xdr:cNvPr id="2" name="Chart 1">
          <a:extLst>
            <a:ext uri="{FF2B5EF4-FFF2-40B4-BE49-F238E27FC236}">
              <a16:creationId xmlns:a16="http://schemas.microsoft.com/office/drawing/2014/main" id="{748FD94A-3F3B-3018-6F30-A6CDDF338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15875</xdr:colOff>
      <xdr:row>1</xdr:row>
      <xdr:rowOff>47625</xdr:rowOff>
    </xdr:from>
    <xdr:to>
      <xdr:col>9</xdr:col>
      <xdr:colOff>231775</xdr:colOff>
      <xdr:row>16</xdr:row>
      <xdr:rowOff>28575</xdr:rowOff>
    </xdr:to>
    <xdr:graphicFrame macro="">
      <xdr:nvGraphicFramePr>
        <xdr:cNvPr id="2" name="Chart 1">
          <a:extLst>
            <a:ext uri="{FF2B5EF4-FFF2-40B4-BE49-F238E27FC236}">
              <a16:creationId xmlns:a16="http://schemas.microsoft.com/office/drawing/2014/main" id="{DC85080C-FDA2-BD32-B205-A0E6E0C52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174625</xdr:colOff>
      <xdr:row>0</xdr:row>
      <xdr:rowOff>184149</xdr:rowOff>
    </xdr:from>
    <xdr:to>
      <xdr:col>13</xdr:col>
      <xdr:colOff>247650</xdr:colOff>
      <xdr:row>14</xdr:row>
      <xdr:rowOff>123824</xdr:rowOff>
    </xdr:to>
    <xdr:graphicFrame macro="">
      <xdr:nvGraphicFramePr>
        <xdr:cNvPr id="3" name="Chart 2">
          <a:extLst>
            <a:ext uri="{FF2B5EF4-FFF2-40B4-BE49-F238E27FC236}">
              <a16:creationId xmlns:a16="http://schemas.microsoft.com/office/drawing/2014/main" id="{ED28DE0E-DA6F-7A85-A836-8B84F4DF3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765175</xdr:colOff>
      <xdr:row>4</xdr:row>
      <xdr:rowOff>47625</xdr:rowOff>
    </xdr:from>
    <xdr:to>
      <xdr:col>8</xdr:col>
      <xdr:colOff>454025</xdr:colOff>
      <xdr:row>19</xdr:row>
      <xdr:rowOff>28575</xdr:rowOff>
    </xdr:to>
    <xdr:graphicFrame macro="">
      <xdr:nvGraphicFramePr>
        <xdr:cNvPr id="2" name="Chart 1">
          <a:extLst>
            <a:ext uri="{FF2B5EF4-FFF2-40B4-BE49-F238E27FC236}">
              <a16:creationId xmlns:a16="http://schemas.microsoft.com/office/drawing/2014/main" id="{6F593AA4-A0E0-888B-CD8C-9C803B630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42473</xdr:colOff>
      <xdr:row>0</xdr:row>
      <xdr:rowOff>24615</xdr:rowOff>
    </xdr:from>
    <xdr:to>
      <xdr:col>26</xdr:col>
      <xdr:colOff>343675</xdr:colOff>
      <xdr:row>38</xdr:row>
      <xdr:rowOff>121828</xdr:rowOff>
    </xdr:to>
    <xdr:sp macro="" textlink="">
      <xdr:nvSpPr>
        <xdr:cNvPr id="2" name="Rectangle 1">
          <a:extLst>
            <a:ext uri="{FF2B5EF4-FFF2-40B4-BE49-F238E27FC236}">
              <a16:creationId xmlns:a16="http://schemas.microsoft.com/office/drawing/2014/main" id="{A88CB213-DB2B-ECB4-F3FD-7EBBA3D51F9B}"/>
            </a:ext>
          </a:extLst>
        </xdr:cNvPr>
        <xdr:cNvSpPr/>
      </xdr:nvSpPr>
      <xdr:spPr>
        <a:xfrm>
          <a:off x="650642" y="24615"/>
          <a:ext cx="15505427" cy="7120969"/>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161117</xdr:colOff>
      <xdr:row>6</xdr:row>
      <xdr:rowOff>28437</xdr:rowOff>
    </xdr:from>
    <xdr:to>
      <xdr:col>4</xdr:col>
      <xdr:colOff>142162</xdr:colOff>
      <xdr:row>10</xdr:row>
      <xdr:rowOff>179339</xdr:rowOff>
    </xdr:to>
    <xdr:sp macro="" textlink="">
      <xdr:nvSpPr>
        <xdr:cNvPr id="45" name="Rectangle: Rounded Corners 44">
          <a:extLst>
            <a:ext uri="{FF2B5EF4-FFF2-40B4-BE49-F238E27FC236}">
              <a16:creationId xmlns:a16="http://schemas.microsoft.com/office/drawing/2014/main" id="{3BEA6250-2D9A-21BA-7697-89E22907B7BE}"/>
            </a:ext>
          </a:extLst>
        </xdr:cNvPr>
        <xdr:cNvSpPr/>
      </xdr:nvSpPr>
      <xdr:spPr>
        <a:xfrm>
          <a:off x="767684" y="1108885"/>
          <a:ext cx="1800747" cy="87120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256653</xdr:colOff>
      <xdr:row>6</xdr:row>
      <xdr:rowOff>29191</xdr:rowOff>
    </xdr:from>
    <xdr:to>
      <xdr:col>8</xdr:col>
      <xdr:colOff>237699</xdr:colOff>
      <xdr:row>11</xdr:row>
      <xdr:rowOff>18</xdr:rowOff>
    </xdr:to>
    <xdr:sp macro="" textlink="">
      <xdr:nvSpPr>
        <xdr:cNvPr id="46" name="Rectangle: Rounded Corners 45">
          <a:extLst>
            <a:ext uri="{FF2B5EF4-FFF2-40B4-BE49-F238E27FC236}">
              <a16:creationId xmlns:a16="http://schemas.microsoft.com/office/drawing/2014/main" id="{5C2BA0FE-FE22-30BE-EC13-31FE68D7107E}"/>
            </a:ext>
          </a:extLst>
        </xdr:cNvPr>
        <xdr:cNvSpPr/>
      </xdr:nvSpPr>
      <xdr:spPr>
        <a:xfrm>
          <a:off x="3289489" y="1109639"/>
          <a:ext cx="1800747" cy="87120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361668</xdr:colOff>
      <xdr:row>6</xdr:row>
      <xdr:rowOff>29943</xdr:rowOff>
    </xdr:from>
    <xdr:to>
      <xdr:col>12</xdr:col>
      <xdr:colOff>342713</xdr:colOff>
      <xdr:row>11</xdr:row>
      <xdr:rowOff>770</xdr:rowOff>
    </xdr:to>
    <xdr:sp macro="" textlink="">
      <xdr:nvSpPr>
        <xdr:cNvPr id="47" name="Rectangle: Rounded Corners 46">
          <a:extLst>
            <a:ext uri="{FF2B5EF4-FFF2-40B4-BE49-F238E27FC236}">
              <a16:creationId xmlns:a16="http://schemas.microsoft.com/office/drawing/2014/main" id="{B0314E8D-8EF6-71A0-70B3-F7F93882E288}"/>
            </a:ext>
          </a:extLst>
        </xdr:cNvPr>
        <xdr:cNvSpPr/>
      </xdr:nvSpPr>
      <xdr:spPr>
        <a:xfrm>
          <a:off x="5820772" y="1110391"/>
          <a:ext cx="1800747" cy="87120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533026</xdr:colOff>
      <xdr:row>6</xdr:row>
      <xdr:rowOff>30695</xdr:rowOff>
    </xdr:from>
    <xdr:to>
      <xdr:col>16</xdr:col>
      <xdr:colOff>514071</xdr:colOff>
      <xdr:row>11</xdr:row>
      <xdr:rowOff>1522</xdr:rowOff>
    </xdr:to>
    <xdr:sp macro="" textlink="">
      <xdr:nvSpPr>
        <xdr:cNvPr id="48" name="Rectangle: Rounded Corners 47">
          <a:extLst>
            <a:ext uri="{FF2B5EF4-FFF2-40B4-BE49-F238E27FC236}">
              <a16:creationId xmlns:a16="http://schemas.microsoft.com/office/drawing/2014/main" id="{B047E1A9-D764-71B9-9123-DEBE1EC1D4CE}"/>
            </a:ext>
          </a:extLst>
        </xdr:cNvPr>
        <xdr:cNvSpPr/>
      </xdr:nvSpPr>
      <xdr:spPr>
        <a:xfrm>
          <a:off x="8418399" y="1111143"/>
          <a:ext cx="1800747" cy="87120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37739</xdr:colOff>
      <xdr:row>6</xdr:row>
      <xdr:rowOff>30897</xdr:rowOff>
    </xdr:from>
    <xdr:to>
      <xdr:col>21</xdr:col>
      <xdr:colOff>18785</xdr:colOff>
      <xdr:row>11</xdr:row>
      <xdr:rowOff>7197</xdr:rowOff>
    </xdr:to>
    <xdr:sp macro="" textlink="">
      <xdr:nvSpPr>
        <xdr:cNvPr id="49" name="Rectangle: Rounded Corners 48">
          <a:extLst>
            <a:ext uri="{FF2B5EF4-FFF2-40B4-BE49-F238E27FC236}">
              <a16:creationId xmlns:a16="http://schemas.microsoft.com/office/drawing/2014/main" id="{E052587E-718D-DD78-9972-FB05CDAA43CD}"/>
            </a:ext>
          </a:extLst>
        </xdr:cNvPr>
        <xdr:cNvSpPr/>
      </xdr:nvSpPr>
      <xdr:spPr>
        <a:xfrm>
          <a:off x="11010539" y="1173897"/>
          <a:ext cx="1809846" cy="92880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370385</xdr:colOff>
      <xdr:row>6</xdr:row>
      <xdr:rowOff>29191</xdr:rowOff>
    </xdr:from>
    <xdr:to>
      <xdr:col>9</xdr:col>
      <xdr:colOff>284117</xdr:colOff>
      <xdr:row>11</xdr:row>
      <xdr:rowOff>18</xdr:rowOff>
    </xdr:to>
    <xdr:sp macro="" textlink="">
      <xdr:nvSpPr>
        <xdr:cNvPr id="28" name="Rectangle 27">
          <a:extLst>
            <a:ext uri="{FF2B5EF4-FFF2-40B4-BE49-F238E27FC236}">
              <a16:creationId xmlns:a16="http://schemas.microsoft.com/office/drawing/2014/main" id="{863C5A23-04F8-3593-99E4-6E56A8CA151C}"/>
            </a:ext>
          </a:extLst>
        </xdr:cNvPr>
        <xdr:cNvSpPr/>
      </xdr:nvSpPr>
      <xdr:spPr>
        <a:xfrm>
          <a:off x="3403221" y="1109639"/>
          <a:ext cx="2340000" cy="8712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475394</xdr:colOff>
      <xdr:row>6</xdr:row>
      <xdr:rowOff>29949</xdr:rowOff>
    </xdr:from>
    <xdr:to>
      <xdr:col>13</xdr:col>
      <xdr:colOff>389125</xdr:colOff>
      <xdr:row>11</xdr:row>
      <xdr:rowOff>776</xdr:rowOff>
    </xdr:to>
    <xdr:sp macro="" textlink="">
      <xdr:nvSpPr>
        <xdr:cNvPr id="29" name="Rectangle 28">
          <a:extLst>
            <a:ext uri="{FF2B5EF4-FFF2-40B4-BE49-F238E27FC236}">
              <a16:creationId xmlns:a16="http://schemas.microsoft.com/office/drawing/2014/main" id="{E873C354-4735-CB19-6D6C-BC63A7DB6962}"/>
            </a:ext>
          </a:extLst>
        </xdr:cNvPr>
        <xdr:cNvSpPr/>
      </xdr:nvSpPr>
      <xdr:spPr>
        <a:xfrm>
          <a:off x="5934498" y="1110397"/>
          <a:ext cx="2340000" cy="8712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40182</xdr:colOff>
      <xdr:row>6</xdr:row>
      <xdr:rowOff>30707</xdr:rowOff>
    </xdr:from>
    <xdr:to>
      <xdr:col>17</xdr:col>
      <xdr:colOff>560480</xdr:colOff>
      <xdr:row>11</xdr:row>
      <xdr:rowOff>1534</xdr:rowOff>
    </xdr:to>
    <xdr:sp macro="" textlink="">
      <xdr:nvSpPr>
        <xdr:cNvPr id="42" name="Rectangle 41">
          <a:extLst>
            <a:ext uri="{FF2B5EF4-FFF2-40B4-BE49-F238E27FC236}">
              <a16:creationId xmlns:a16="http://schemas.microsoft.com/office/drawing/2014/main" id="{B1D4827E-9F5B-4404-025E-3E82DBB6A260}"/>
            </a:ext>
          </a:extLst>
        </xdr:cNvPr>
        <xdr:cNvSpPr/>
      </xdr:nvSpPr>
      <xdr:spPr>
        <a:xfrm>
          <a:off x="8532122" y="1111155"/>
          <a:ext cx="2340000" cy="8712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170598</xdr:colOff>
      <xdr:row>6</xdr:row>
      <xdr:rowOff>8528</xdr:rowOff>
    </xdr:from>
    <xdr:to>
      <xdr:col>21</xdr:col>
      <xdr:colOff>502314</xdr:colOff>
      <xdr:row>11</xdr:row>
      <xdr:rowOff>34878</xdr:rowOff>
    </xdr:to>
    <xdr:sp macro="" textlink="">
      <xdr:nvSpPr>
        <xdr:cNvPr id="43" name="Rectangle 42">
          <a:extLst>
            <a:ext uri="{FF2B5EF4-FFF2-40B4-BE49-F238E27FC236}">
              <a16:creationId xmlns:a16="http://schemas.microsoft.com/office/drawing/2014/main" id="{DA782128-F155-0A1A-14C2-185D67A0AD3F}"/>
            </a:ext>
          </a:extLst>
        </xdr:cNvPr>
        <xdr:cNvSpPr/>
      </xdr:nvSpPr>
      <xdr:spPr>
        <a:xfrm>
          <a:off x="11143398" y="1151528"/>
          <a:ext cx="2160516" cy="97885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265374</xdr:colOff>
      <xdr:row>6</xdr:row>
      <xdr:rowOff>28433</xdr:rowOff>
    </xdr:from>
    <xdr:to>
      <xdr:col>5</xdr:col>
      <xdr:colOff>179105</xdr:colOff>
      <xdr:row>10</xdr:row>
      <xdr:rowOff>179335</xdr:rowOff>
    </xdr:to>
    <xdr:sp macro="" textlink="">
      <xdr:nvSpPr>
        <xdr:cNvPr id="24" name="Rectangle 23">
          <a:extLst>
            <a:ext uri="{FF2B5EF4-FFF2-40B4-BE49-F238E27FC236}">
              <a16:creationId xmlns:a16="http://schemas.microsoft.com/office/drawing/2014/main" id="{2D663CF2-81FC-07A1-CCF2-BEF0E04D9529}"/>
            </a:ext>
          </a:extLst>
        </xdr:cNvPr>
        <xdr:cNvSpPr/>
      </xdr:nvSpPr>
      <xdr:spPr>
        <a:xfrm>
          <a:off x="871941" y="1108881"/>
          <a:ext cx="2340000" cy="8712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232197</xdr:colOff>
      <xdr:row>13</xdr:row>
      <xdr:rowOff>129875</xdr:rowOff>
    </xdr:from>
    <xdr:to>
      <xdr:col>7</xdr:col>
      <xdr:colOff>588794</xdr:colOff>
      <xdr:row>23</xdr:row>
      <xdr:rowOff>165129</xdr:rowOff>
    </xdr:to>
    <xdr:graphicFrame macro="">
      <xdr:nvGraphicFramePr>
        <xdr:cNvPr id="7" name="Chart 6">
          <a:extLst>
            <a:ext uri="{FF2B5EF4-FFF2-40B4-BE49-F238E27FC236}">
              <a16:creationId xmlns:a16="http://schemas.microsoft.com/office/drawing/2014/main" id="{0C9E0566-4C4D-4FAD-A839-39FA49922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238548</xdr:colOff>
      <xdr:row>12</xdr:row>
      <xdr:rowOff>2156</xdr:rowOff>
    </xdr:from>
    <xdr:to>
      <xdr:col>7</xdr:col>
      <xdr:colOff>595145</xdr:colOff>
      <xdr:row>13</xdr:row>
      <xdr:rowOff>94796</xdr:rowOff>
    </xdr:to>
    <xdr:sp macro="" textlink="">
      <xdr:nvSpPr>
        <xdr:cNvPr id="9" name="Rectangle 8">
          <a:extLst>
            <a:ext uri="{FF2B5EF4-FFF2-40B4-BE49-F238E27FC236}">
              <a16:creationId xmlns:a16="http://schemas.microsoft.com/office/drawing/2014/main" id="{DE38640C-73D0-07C4-3949-8BCFF32A26AD}"/>
            </a:ext>
          </a:extLst>
        </xdr:cNvPr>
        <xdr:cNvSpPr/>
      </xdr:nvSpPr>
      <xdr:spPr>
        <a:xfrm>
          <a:off x="845115" y="2163052"/>
          <a:ext cx="3996000" cy="272714"/>
        </a:xfrm>
        <a:prstGeom prst="rect">
          <a:avLst/>
        </a:prstGeom>
        <a:solidFill>
          <a:schemeClr val="accent5">
            <a:lumMod val="20000"/>
            <a:lumOff val="8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185797</xdr:colOff>
      <xdr:row>13</xdr:row>
      <xdr:rowOff>129875</xdr:rowOff>
    </xdr:from>
    <xdr:to>
      <xdr:col>14</xdr:col>
      <xdr:colOff>542394</xdr:colOff>
      <xdr:row>23</xdr:row>
      <xdr:rowOff>165129</xdr:rowOff>
    </xdr:to>
    <xdr:graphicFrame macro="">
      <xdr:nvGraphicFramePr>
        <xdr:cNvPr id="10" name="Chart 9">
          <a:extLst>
            <a:ext uri="{FF2B5EF4-FFF2-40B4-BE49-F238E27FC236}">
              <a16:creationId xmlns:a16="http://schemas.microsoft.com/office/drawing/2014/main" id="{A4DDF1AA-DBB9-4235-B6A0-7D08983CE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193938</xdr:colOff>
      <xdr:row>12</xdr:row>
      <xdr:rowOff>2156</xdr:rowOff>
    </xdr:from>
    <xdr:to>
      <xdr:col>14</xdr:col>
      <xdr:colOff>550535</xdr:colOff>
      <xdr:row>13</xdr:row>
      <xdr:rowOff>92638</xdr:rowOff>
    </xdr:to>
    <xdr:sp macro="" textlink="">
      <xdr:nvSpPr>
        <xdr:cNvPr id="12" name="Rectangle 11">
          <a:extLst>
            <a:ext uri="{FF2B5EF4-FFF2-40B4-BE49-F238E27FC236}">
              <a16:creationId xmlns:a16="http://schemas.microsoft.com/office/drawing/2014/main" id="{08C7DB67-C27C-DDF6-3F4C-EF0C49DEBFAD}"/>
            </a:ext>
          </a:extLst>
        </xdr:cNvPr>
        <xdr:cNvSpPr/>
      </xdr:nvSpPr>
      <xdr:spPr>
        <a:xfrm>
          <a:off x="5046475" y="2163052"/>
          <a:ext cx="3996000" cy="270556"/>
        </a:xfrm>
        <a:prstGeom prst="rect">
          <a:avLst/>
        </a:prstGeom>
        <a:solidFill>
          <a:schemeClr val="accent5">
            <a:lumMod val="20000"/>
            <a:lumOff val="8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142227</xdr:colOff>
      <xdr:row>13</xdr:row>
      <xdr:rowOff>129875</xdr:rowOff>
    </xdr:from>
    <xdr:to>
      <xdr:col>21</xdr:col>
      <xdr:colOff>498824</xdr:colOff>
      <xdr:row>23</xdr:row>
      <xdr:rowOff>165129</xdr:rowOff>
    </xdr:to>
    <xdr:graphicFrame macro="">
      <xdr:nvGraphicFramePr>
        <xdr:cNvPr id="13" name="Chart 12">
          <a:extLst>
            <a:ext uri="{FF2B5EF4-FFF2-40B4-BE49-F238E27FC236}">
              <a16:creationId xmlns:a16="http://schemas.microsoft.com/office/drawing/2014/main" id="{1BC18824-0F2C-4251-BC45-DC1EA0F44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147425</xdr:colOff>
      <xdr:row>12</xdr:row>
      <xdr:rowOff>2156</xdr:rowOff>
    </xdr:from>
    <xdr:to>
      <xdr:col>21</xdr:col>
      <xdr:colOff>504022</xdr:colOff>
      <xdr:row>13</xdr:row>
      <xdr:rowOff>92638</xdr:rowOff>
    </xdr:to>
    <xdr:sp macro="" textlink="">
      <xdr:nvSpPr>
        <xdr:cNvPr id="3" name="Rectangle 2">
          <a:extLst>
            <a:ext uri="{FF2B5EF4-FFF2-40B4-BE49-F238E27FC236}">
              <a16:creationId xmlns:a16="http://schemas.microsoft.com/office/drawing/2014/main" id="{B5AFCF9B-A07E-D8A0-B86B-3774DD9C9776}"/>
            </a:ext>
          </a:extLst>
        </xdr:cNvPr>
        <xdr:cNvSpPr/>
      </xdr:nvSpPr>
      <xdr:spPr>
        <a:xfrm>
          <a:off x="9245932" y="2163052"/>
          <a:ext cx="3996000" cy="270556"/>
        </a:xfrm>
        <a:prstGeom prst="rect">
          <a:avLst/>
        </a:prstGeom>
        <a:solidFill>
          <a:schemeClr val="accent5">
            <a:lumMod val="20000"/>
            <a:lumOff val="8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237018</xdr:colOff>
      <xdr:row>26</xdr:row>
      <xdr:rowOff>115370</xdr:rowOff>
    </xdr:from>
    <xdr:to>
      <xdr:col>7</xdr:col>
      <xdr:colOff>593615</xdr:colOff>
      <xdr:row>37</xdr:row>
      <xdr:rowOff>110509</xdr:rowOff>
    </xdr:to>
    <xdr:graphicFrame macro="">
      <xdr:nvGraphicFramePr>
        <xdr:cNvPr id="4" name="Chart 3">
          <a:extLst>
            <a:ext uri="{FF2B5EF4-FFF2-40B4-BE49-F238E27FC236}">
              <a16:creationId xmlns:a16="http://schemas.microsoft.com/office/drawing/2014/main" id="{0123766B-DDB0-4C04-9F1F-C65DEA642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199225</xdr:colOff>
      <xdr:row>26</xdr:row>
      <xdr:rowOff>135902</xdr:rowOff>
    </xdr:from>
    <xdr:to>
      <xdr:col>14</xdr:col>
      <xdr:colOff>555822</xdr:colOff>
      <xdr:row>37</xdr:row>
      <xdr:rowOff>131103</xdr:rowOff>
    </xdr:to>
    <xdr:graphicFrame macro="">
      <xdr:nvGraphicFramePr>
        <xdr:cNvPr id="5" name="Chart 4">
          <a:extLst>
            <a:ext uri="{FF2B5EF4-FFF2-40B4-BE49-F238E27FC236}">
              <a16:creationId xmlns:a16="http://schemas.microsoft.com/office/drawing/2014/main" id="{983AB42B-C821-4E8D-94AF-94F969AC2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148850</xdr:colOff>
      <xdr:row>26</xdr:row>
      <xdr:rowOff>112670</xdr:rowOff>
    </xdr:from>
    <xdr:to>
      <xdr:col>21</xdr:col>
      <xdr:colOff>505447</xdr:colOff>
      <xdr:row>37</xdr:row>
      <xdr:rowOff>107967</xdr:rowOff>
    </xdr:to>
    <xdr:graphicFrame macro="">
      <xdr:nvGraphicFramePr>
        <xdr:cNvPr id="8" name="Chart 7">
          <a:extLst>
            <a:ext uri="{FF2B5EF4-FFF2-40B4-BE49-F238E27FC236}">
              <a16:creationId xmlns:a16="http://schemas.microsoft.com/office/drawing/2014/main" id="{107C7AA8-6F9A-42A3-B9E3-0657A2F64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229069</xdr:colOff>
      <xdr:row>24</xdr:row>
      <xdr:rowOff>143576</xdr:rowOff>
    </xdr:from>
    <xdr:to>
      <xdr:col>7</xdr:col>
      <xdr:colOff>585666</xdr:colOff>
      <xdr:row>26</xdr:row>
      <xdr:rowOff>55495</xdr:rowOff>
    </xdr:to>
    <xdr:sp macro="" textlink="">
      <xdr:nvSpPr>
        <xdr:cNvPr id="14" name="Rectangle 13">
          <a:extLst>
            <a:ext uri="{FF2B5EF4-FFF2-40B4-BE49-F238E27FC236}">
              <a16:creationId xmlns:a16="http://schemas.microsoft.com/office/drawing/2014/main" id="{03670966-7963-E5CF-F10E-E5AE32E226BE}"/>
            </a:ext>
          </a:extLst>
        </xdr:cNvPr>
        <xdr:cNvSpPr/>
      </xdr:nvSpPr>
      <xdr:spPr>
        <a:xfrm>
          <a:off x="835636" y="4465367"/>
          <a:ext cx="3996000" cy="272068"/>
        </a:xfrm>
        <a:prstGeom prst="rect">
          <a:avLst/>
        </a:prstGeom>
        <a:solidFill>
          <a:schemeClr val="accent5">
            <a:lumMod val="20000"/>
            <a:lumOff val="8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205215</xdr:colOff>
      <xdr:row>24</xdr:row>
      <xdr:rowOff>143576</xdr:rowOff>
    </xdr:from>
    <xdr:to>
      <xdr:col>14</xdr:col>
      <xdr:colOff>561812</xdr:colOff>
      <xdr:row>26</xdr:row>
      <xdr:rowOff>55495</xdr:rowOff>
    </xdr:to>
    <xdr:sp macro="" textlink="">
      <xdr:nvSpPr>
        <xdr:cNvPr id="15" name="Rectangle 14">
          <a:extLst>
            <a:ext uri="{FF2B5EF4-FFF2-40B4-BE49-F238E27FC236}">
              <a16:creationId xmlns:a16="http://schemas.microsoft.com/office/drawing/2014/main" id="{2C783CF0-FDB5-8D8F-FDF8-39D2DACD8AB9}"/>
            </a:ext>
          </a:extLst>
        </xdr:cNvPr>
        <xdr:cNvSpPr/>
      </xdr:nvSpPr>
      <xdr:spPr>
        <a:xfrm>
          <a:off x="5057752" y="4465367"/>
          <a:ext cx="3996000" cy="272068"/>
        </a:xfrm>
        <a:prstGeom prst="rect">
          <a:avLst/>
        </a:prstGeom>
        <a:solidFill>
          <a:schemeClr val="accent5">
            <a:lumMod val="20000"/>
            <a:lumOff val="8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154703</xdr:colOff>
      <xdr:row>24</xdr:row>
      <xdr:rowOff>134098</xdr:rowOff>
    </xdr:from>
    <xdr:to>
      <xdr:col>21</xdr:col>
      <xdr:colOff>511300</xdr:colOff>
      <xdr:row>26</xdr:row>
      <xdr:rowOff>46017</xdr:rowOff>
    </xdr:to>
    <xdr:sp macro="" textlink="">
      <xdr:nvSpPr>
        <xdr:cNvPr id="16" name="Rectangle 15">
          <a:extLst>
            <a:ext uri="{FF2B5EF4-FFF2-40B4-BE49-F238E27FC236}">
              <a16:creationId xmlns:a16="http://schemas.microsoft.com/office/drawing/2014/main" id="{C1003831-C6E8-9E3A-AFE4-21AA2BB51D26}"/>
            </a:ext>
          </a:extLst>
        </xdr:cNvPr>
        <xdr:cNvSpPr/>
      </xdr:nvSpPr>
      <xdr:spPr>
        <a:xfrm>
          <a:off x="9253210" y="4455889"/>
          <a:ext cx="3996000" cy="272068"/>
        </a:xfrm>
        <a:prstGeom prst="rect">
          <a:avLst/>
        </a:prstGeom>
        <a:solidFill>
          <a:schemeClr val="accent5">
            <a:lumMod val="20000"/>
            <a:lumOff val="8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603329</xdr:colOff>
      <xdr:row>11</xdr:row>
      <xdr:rowOff>149666</xdr:rowOff>
    </xdr:from>
    <xdr:to>
      <xdr:col>7</xdr:col>
      <xdr:colOff>181399</xdr:colOff>
      <xdr:row>13</xdr:row>
      <xdr:rowOff>89103</xdr:rowOff>
    </xdr:to>
    <xdr:sp macro="" textlink="">
      <xdr:nvSpPr>
        <xdr:cNvPr id="17" name="TextBox 16">
          <a:extLst>
            <a:ext uri="{FF2B5EF4-FFF2-40B4-BE49-F238E27FC236}">
              <a16:creationId xmlns:a16="http://schemas.microsoft.com/office/drawing/2014/main" id="{1FE20B67-3776-CEE2-A058-9583E25C348E}"/>
            </a:ext>
          </a:extLst>
        </xdr:cNvPr>
        <xdr:cNvSpPr txBox="1"/>
      </xdr:nvSpPr>
      <xdr:spPr>
        <a:xfrm>
          <a:off x="1209896" y="2130487"/>
          <a:ext cx="3217473" cy="29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Patient</a:t>
          </a:r>
          <a:r>
            <a:rPr lang="en-GB" sz="1600" b="1" baseline="0"/>
            <a:t> Admission Trends Overtime</a:t>
          </a:r>
          <a:endParaRPr lang="en-GB" sz="1600" b="1"/>
        </a:p>
      </xdr:txBody>
    </xdr:sp>
    <xdr:clientData/>
  </xdr:twoCellAnchor>
  <xdr:twoCellAnchor>
    <xdr:from>
      <xdr:col>9</xdr:col>
      <xdr:colOff>203159</xdr:colOff>
      <xdr:row>11</xdr:row>
      <xdr:rowOff>143030</xdr:rowOff>
    </xdr:from>
    <xdr:to>
      <xdr:col>13</xdr:col>
      <xdr:colOff>556831</xdr:colOff>
      <xdr:row>13</xdr:row>
      <xdr:rowOff>98179</xdr:rowOff>
    </xdr:to>
    <xdr:sp macro="" textlink="">
      <xdr:nvSpPr>
        <xdr:cNvPr id="18" name="TextBox 17">
          <a:extLst>
            <a:ext uri="{FF2B5EF4-FFF2-40B4-BE49-F238E27FC236}">
              <a16:creationId xmlns:a16="http://schemas.microsoft.com/office/drawing/2014/main" id="{1DD4DCEC-1B65-7A41-5062-FAF00880B8DC}"/>
            </a:ext>
          </a:extLst>
        </xdr:cNvPr>
        <xdr:cNvSpPr txBox="1"/>
      </xdr:nvSpPr>
      <xdr:spPr>
        <a:xfrm>
          <a:off x="5662263" y="2123851"/>
          <a:ext cx="2779941" cy="315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State-wise Hospital Utilization</a:t>
          </a:r>
        </a:p>
      </xdr:txBody>
    </xdr:sp>
    <xdr:clientData/>
  </xdr:twoCellAnchor>
  <xdr:twoCellAnchor>
    <xdr:from>
      <xdr:col>16</xdr:col>
      <xdr:colOff>406455</xdr:colOff>
      <xdr:row>11</xdr:row>
      <xdr:rowOff>144356</xdr:rowOff>
    </xdr:from>
    <xdr:to>
      <xdr:col>21</xdr:col>
      <xdr:colOff>60083</xdr:colOff>
      <xdr:row>13</xdr:row>
      <xdr:rowOff>63403</xdr:rowOff>
    </xdr:to>
    <xdr:sp macro="" textlink="">
      <xdr:nvSpPr>
        <xdr:cNvPr id="19" name="TextBox 18">
          <a:extLst>
            <a:ext uri="{FF2B5EF4-FFF2-40B4-BE49-F238E27FC236}">
              <a16:creationId xmlns:a16="http://schemas.microsoft.com/office/drawing/2014/main" id="{49904984-B1F4-6F9E-466F-66853C3EB8C5}"/>
            </a:ext>
          </a:extLst>
        </xdr:cNvPr>
        <xdr:cNvSpPr txBox="1"/>
      </xdr:nvSpPr>
      <xdr:spPr>
        <a:xfrm>
          <a:off x="10111530" y="2125177"/>
          <a:ext cx="2686463" cy="279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Hospital-level</a:t>
          </a:r>
          <a:r>
            <a:rPr lang="en-GB" sz="1600" b="1" baseline="0"/>
            <a:t> Utilization</a:t>
          </a:r>
          <a:endParaRPr lang="en-GB" sz="1600" b="1"/>
        </a:p>
      </xdr:txBody>
    </xdr:sp>
    <xdr:clientData/>
  </xdr:twoCellAnchor>
  <xdr:twoCellAnchor>
    <xdr:from>
      <xdr:col>1</xdr:col>
      <xdr:colOff>512653</xdr:colOff>
      <xdr:row>24</xdr:row>
      <xdr:rowOff>121231</xdr:rowOff>
    </xdr:from>
    <xdr:to>
      <xdr:col>7</xdr:col>
      <xdr:colOff>344278</xdr:colOff>
      <xdr:row>26</xdr:row>
      <xdr:rowOff>124326</xdr:rowOff>
    </xdr:to>
    <xdr:sp macro="" textlink="">
      <xdr:nvSpPr>
        <xdr:cNvPr id="20" name="TextBox 19">
          <a:extLst>
            <a:ext uri="{FF2B5EF4-FFF2-40B4-BE49-F238E27FC236}">
              <a16:creationId xmlns:a16="http://schemas.microsoft.com/office/drawing/2014/main" id="{679E59BC-877A-5C50-E8C4-A250FABAA4BE}"/>
            </a:ext>
          </a:extLst>
        </xdr:cNvPr>
        <xdr:cNvSpPr txBox="1"/>
      </xdr:nvSpPr>
      <xdr:spPr>
        <a:xfrm>
          <a:off x="1119220" y="4443022"/>
          <a:ext cx="3471028" cy="363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Department-wise</a:t>
          </a:r>
          <a:r>
            <a:rPr lang="en-GB" sz="1600" b="1" baseline="0"/>
            <a:t> Patient Distribution</a:t>
          </a:r>
          <a:endParaRPr lang="en-GB" sz="1600" b="1"/>
        </a:p>
      </xdr:txBody>
    </xdr:sp>
    <xdr:clientData/>
  </xdr:twoCellAnchor>
  <xdr:twoCellAnchor>
    <xdr:from>
      <xdr:col>9</xdr:col>
      <xdr:colOff>447132</xdr:colOff>
      <xdr:row>24</xdr:row>
      <xdr:rowOff>121231</xdr:rowOff>
    </xdr:from>
    <xdr:to>
      <xdr:col>13</xdr:col>
      <xdr:colOff>231077</xdr:colOff>
      <xdr:row>26</xdr:row>
      <xdr:rowOff>26056</xdr:rowOff>
    </xdr:to>
    <xdr:sp macro="" textlink="">
      <xdr:nvSpPr>
        <xdr:cNvPr id="21" name="TextBox 20">
          <a:extLst>
            <a:ext uri="{FF2B5EF4-FFF2-40B4-BE49-F238E27FC236}">
              <a16:creationId xmlns:a16="http://schemas.microsoft.com/office/drawing/2014/main" id="{EC5EBB18-15C1-5EAF-4B47-BD6B6AE8A3A5}"/>
            </a:ext>
          </a:extLst>
        </xdr:cNvPr>
        <xdr:cNvSpPr txBox="1"/>
      </xdr:nvSpPr>
      <xdr:spPr>
        <a:xfrm>
          <a:off x="5906236" y="4443022"/>
          <a:ext cx="2210214" cy="264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Service Type Utilization</a:t>
          </a:r>
        </a:p>
      </xdr:txBody>
    </xdr:sp>
    <xdr:clientData/>
  </xdr:twoCellAnchor>
  <xdr:twoCellAnchor>
    <xdr:from>
      <xdr:col>16</xdr:col>
      <xdr:colOff>172243</xdr:colOff>
      <xdr:row>24</xdr:row>
      <xdr:rowOff>102275</xdr:rowOff>
    </xdr:from>
    <xdr:to>
      <xdr:col>21</xdr:col>
      <xdr:colOff>265349</xdr:colOff>
      <xdr:row>26</xdr:row>
      <xdr:rowOff>75840</xdr:rowOff>
    </xdr:to>
    <xdr:sp macro="" textlink="">
      <xdr:nvSpPr>
        <xdr:cNvPr id="22" name="TextBox 21">
          <a:extLst>
            <a:ext uri="{FF2B5EF4-FFF2-40B4-BE49-F238E27FC236}">
              <a16:creationId xmlns:a16="http://schemas.microsoft.com/office/drawing/2014/main" id="{34A92650-196E-4433-BC73-277FB20E8B9A}"/>
            </a:ext>
          </a:extLst>
        </xdr:cNvPr>
        <xdr:cNvSpPr txBox="1"/>
      </xdr:nvSpPr>
      <xdr:spPr>
        <a:xfrm>
          <a:off x="9877318" y="4424066"/>
          <a:ext cx="3125941" cy="333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Discharge Performance</a:t>
          </a:r>
          <a:r>
            <a:rPr lang="en-GB" sz="1600" b="1" baseline="0"/>
            <a:t> Analysis</a:t>
          </a:r>
          <a:endParaRPr lang="en-GB" sz="1600" b="1"/>
        </a:p>
      </xdr:txBody>
    </xdr:sp>
    <xdr:clientData/>
  </xdr:twoCellAnchor>
  <xdr:twoCellAnchor>
    <xdr:from>
      <xdr:col>1</xdr:col>
      <xdr:colOff>509486</xdr:colOff>
      <xdr:row>6</xdr:row>
      <xdr:rowOff>68258</xdr:rowOff>
    </xdr:from>
    <xdr:to>
      <xdr:col>5</xdr:col>
      <xdr:colOff>208617</xdr:colOff>
      <xdr:row>8</xdr:row>
      <xdr:rowOff>57674</xdr:rowOff>
    </xdr:to>
    <xdr:sp macro="" textlink="">
      <xdr:nvSpPr>
        <xdr:cNvPr id="30" name="TextBox 29">
          <a:extLst>
            <a:ext uri="{FF2B5EF4-FFF2-40B4-BE49-F238E27FC236}">
              <a16:creationId xmlns:a16="http://schemas.microsoft.com/office/drawing/2014/main" id="{84D35806-53F8-22D3-B41F-D218E155DF22}"/>
            </a:ext>
          </a:extLst>
        </xdr:cNvPr>
        <xdr:cNvSpPr txBox="1"/>
      </xdr:nvSpPr>
      <xdr:spPr>
        <a:xfrm>
          <a:off x="1116053" y="1148706"/>
          <a:ext cx="2125400" cy="349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Total</a:t>
          </a:r>
          <a:r>
            <a:rPr lang="en-GB" sz="1400" b="1" baseline="0"/>
            <a:t> Patients Admitted</a:t>
          </a:r>
          <a:endParaRPr lang="en-GB" sz="1400" b="1"/>
        </a:p>
      </xdr:txBody>
    </xdr:sp>
    <xdr:clientData/>
  </xdr:twoCellAnchor>
  <xdr:twoCellAnchor>
    <xdr:from>
      <xdr:col>6</xdr:col>
      <xdr:colOff>83075</xdr:colOff>
      <xdr:row>6</xdr:row>
      <xdr:rowOff>68258</xdr:rowOff>
    </xdr:from>
    <xdr:to>
      <xdr:col>9</xdr:col>
      <xdr:colOff>125409</xdr:colOff>
      <xdr:row>8</xdr:row>
      <xdr:rowOff>71283</xdr:rowOff>
    </xdr:to>
    <xdr:sp macro="" textlink="">
      <xdr:nvSpPr>
        <xdr:cNvPr id="31" name="TextBox 30">
          <a:extLst>
            <a:ext uri="{FF2B5EF4-FFF2-40B4-BE49-F238E27FC236}">
              <a16:creationId xmlns:a16="http://schemas.microsoft.com/office/drawing/2014/main" id="{873BC921-2964-C7E6-5E84-69CF53E34D91}"/>
            </a:ext>
          </a:extLst>
        </xdr:cNvPr>
        <xdr:cNvSpPr txBox="1"/>
      </xdr:nvSpPr>
      <xdr:spPr>
        <a:xfrm>
          <a:off x="3722478" y="1148706"/>
          <a:ext cx="1862035" cy="36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Total Patients Discharged</a:t>
          </a:r>
        </a:p>
      </xdr:txBody>
    </xdr:sp>
    <xdr:clientData/>
  </xdr:twoCellAnchor>
  <xdr:twoCellAnchor>
    <xdr:from>
      <xdr:col>10</xdr:col>
      <xdr:colOff>219501</xdr:colOff>
      <xdr:row>6</xdr:row>
      <xdr:rowOff>68258</xdr:rowOff>
    </xdr:from>
    <xdr:to>
      <xdr:col>13</xdr:col>
      <xdr:colOff>287840</xdr:colOff>
      <xdr:row>8</xdr:row>
      <xdr:rowOff>41045</xdr:rowOff>
    </xdr:to>
    <xdr:sp macro="" textlink="">
      <xdr:nvSpPr>
        <xdr:cNvPr id="32" name="TextBox 31">
          <a:extLst>
            <a:ext uri="{FF2B5EF4-FFF2-40B4-BE49-F238E27FC236}">
              <a16:creationId xmlns:a16="http://schemas.microsoft.com/office/drawing/2014/main" id="{C5AB72E9-92D1-E27A-0F3C-3A399F2B5BE5}"/>
            </a:ext>
          </a:extLst>
        </xdr:cNvPr>
        <xdr:cNvSpPr txBox="1"/>
      </xdr:nvSpPr>
      <xdr:spPr>
        <a:xfrm>
          <a:off x="6285173" y="1148706"/>
          <a:ext cx="1888040" cy="332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Overall</a:t>
          </a:r>
          <a:r>
            <a:rPr lang="en-GB" sz="1400" b="1" baseline="0"/>
            <a:t> Mortality Rate</a:t>
          </a:r>
          <a:endParaRPr lang="en-GB" sz="1400" b="1"/>
        </a:p>
      </xdr:txBody>
    </xdr:sp>
    <xdr:clientData/>
  </xdr:twoCellAnchor>
  <xdr:twoCellAnchor>
    <xdr:from>
      <xdr:col>14</xdr:col>
      <xdr:colOff>301093</xdr:colOff>
      <xdr:row>6</xdr:row>
      <xdr:rowOff>49302</xdr:rowOff>
    </xdr:from>
    <xdr:to>
      <xdr:col>17</xdr:col>
      <xdr:colOff>354009</xdr:colOff>
      <xdr:row>8</xdr:row>
      <xdr:rowOff>28137</xdr:rowOff>
    </xdr:to>
    <xdr:sp macro="" textlink="">
      <xdr:nvSpPr>
        <xdr:cNvPr id="33" name="TextBox 32">
          <a:extLst>
            <a:ext uri="{FF2B5EF4-FFF2-40B4-BE49-F238E27FC236}">
              <a16:creationId xmlns:a16="http://schemas.microsoft.com/office/drawing/2014/main" id="{D0F36966-2BCA-49B7-985B-251AD104D6E5}"/>
            </a:ext>
          </a:extLst>
        </xdr:cNvPr>
        <xdr:cNvSpPr txBox="1"/>
      </xdr:nvSpPr>
      <xdr:spPr>
        <a:xfrm>
          <a:off x="8793033" y="1129750"/>
          <a:ext cx="1872618" cy="3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Average Length of Stay</a:t>
          </a:r>
        </a:p>
      </xdr:txBody>
    </xdr:sp>
    <xdr:clientData/>
  </xdr:twoCellAnchor>
  <xdr:twoCellAnchor>
    <xdr:from>
      <xdr:col>19</xdr:col>
      <xdr:colOff>167317</xdr:colOff>
      <xdr:row>6</xdr:row>
      <xdr:rowOff>49302</xdr:rowOff>
    </xdr:from>
    <xdr:to>
      <xdr:col>21</xdr:col>
      <xdr:colOff>353284</xdr:colOff>
      <xdr:row>8</xdr:row>
      <xdr:rowOff>26622</xdr:rowOff>
    </xdr:to>
    <xdr:sp macro="" textlink="">
      <xdr:nvSpPr>
        <xdr:cNvPr id="34" name="TextBox 33">
          <a:extLst>
            <a:ext uri="{FF2B5EF4-FFF2-40B4-BE49-F238E27FC236}">
              <a16:creationId xmlns:a16="http://schemas.microsoft.com/office/drawing/2014/main" id="{72CC5BD0-75FD-361E-2C9E-8F7E8DA64085}"/>
            </a:ext>
          </a:extLst>
        </xdr:cNvPr>
        <xdr:cNvSpPr txBox="1"/>
      </xdr:nvSpPr>
      <xdr:spPr>
        <a:xfrm>
          <a:off x="11692093" y="1129750"/>
          <a:ext cx="1399101" cy="337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Discharge Rate</a:t>
          </a:r>
        </a:p>
      </xdr:txBody>
    </xdr:sp>
    <xdr:clientData/>
  </xdr:twoCellAnchor>
  <xdr:twoCellAnchor editAs="oneCell">
    <xdr:from>
      <xdr:col>22</xdr:col>
      <xdr:colOff>166546</xdr:colOff>
      <xdr:row>21</xdr:row>
      <xdr:rowOff>56885</xdr:rowOff>
    </xdr:from>
    <xdr:to>
      <xdr:col>26</xdr:col>
      <xdr:colOff>134797</xdr:colOff>
      <xdr:row>37</xdr:row>
      <xdr:rowOff>107252</xdr:rowOff>
    </xdr:to>
    <mc:AlternateContent xmlns:mc="http://schemas.openxmlformats.org/markup-compatibility/2006" xmlns:a14="http://schemas.microsoft.com/office/drawing/2010/main">
      <mc:Choice Requires="a14">
        <xdr:graphicFrame macro="">
          <xdr:nvGraphicFramePr>
            <xdr:cNvPr id="36" name="Hospital 1">
              <a:extLst>
                <a:ext uri="{FF2B5EF4-FFF2-40B4-BE49-F238E27FC236}">
                  <a16:creationId xmlns:a16="http://schemas.microsoft.com/office/drawing/2014/main" id="{0063BE32-FC81-4254-900A-84CE59076930}"/>
                </a:ext>
              </a:extLst>
            </xdr:cNvPr>
            <xdr:cNvGraphicFramePr/>
          </xdr:nvGraphicFramePr>
          <xdr:xfrm>
            <a:off x="0" y="0"/>
            <a:ext cx="0" cy="0"/>
          </xdr:xfrm>
          <a:graphic>
            <a:graphicData uri="http://schemas.microsoft.com/office/drawing/2010/slicer">
              <sle:slicer xmlns:sle="http://schemas.microsoft.com/office/drawing/2010/slicer" name="Hospital 1"/>
            </a:graphicData>
          </a:graphic>
        </xdr:graphicFrame>
      </mc:Choice>
      <mc:Fallback xmlns="">
        <xdr:sp macro="" textlink="">
          <xdr:nvSpPr>
            <xdr:cNvPr id="0" name=""/>
            <xdr:cNvSpPr>
              <a:spLocks noTextEdit="1"/>
            </xdr:cNvSpPr>
          </xdr:nvSpPr>
          <xdr:spPr>
            <a:xfrm>
              <a:off x="13670879" y="3835135"/>
              <a:ext cx="2423585" cy="29290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327449</xdr:colOff>
      <xdr:row>8</xdr:row>
      <xdr:rowOff>6128</xdr:rowOff>
    </xdr:from>
    <xdr:to>
      <xdr:col>5</xdr:col>
      <xdr:colOff>165100</xdr:colOff>
      <xdr:row>10</xdr:row>
      <xdr:rowOff>152400</xdr:rowOff>
    </xdr:to>
    <xdr:sp macro="" textlink="Sheet11!K16">
      <xdr:nvSpPr>
        <xdr:cNvPr id="37" name="TextBox 36">
          <a:extLst>
            <a:ext uri="{FF2B5EF4-FFF2-40B4-BE49-F238E27FC236}">
              <a16:creationId xmlns:a16="http://schemas.microsoft.com/office/drawing/2014/main" id="{846A92B1-3426-9F1B-DDD6-0E747251055C}"/>
            </a:ext>
          </a:extLst>
        </xdr:cNvPr>
        <xdr:cNvSpPr txBox="1"/>
      </xdr:nvSpPr>
      <xdr:spPr>
        <a:xfrm>
          <a:off x="2156249" y="1530128"/>
          <a:ext cx="1056851" cy="527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B03507-5FCA-4CCC-9A0C-6243C0EFDA77}" type="TxLink">
            <a:rPr lang="en-US" sz="2800" b="1" i="0" u="none" strike="noStrike">
              <a:solidFill>
                <a:schemeClr val="tx2">
                  <a:lumMod val="75000"/>
                </a:schemeClr>
              </a:solidFill>
              <a:latin typeface="Aptos Narrow"/>
            </a:rPr>
            <a:pPr/>
            <a:t>4852</a:t>
          </a:fld>
          <a:endParaRPr lang="en-GB" sz="6000" b="1">
            <a:solidFill>
              <a:schemeClr val="tx2">
                <a:lumMod val="75000"/>
              </a:schemeClr>
            </a:solidFill>
          </a:endParaRPr>
        </a:p>
      </xdr:txBody>
    </xdr:sp>
    <xdr:clientData/>
  </xdr:twoCellAnchor>
  <xdr:twoCellAnchor>
    <xdr:from>
      <xdr:col>7</xdr:col>
      <xdr:colOff>395736</xdr:colOff>
      <xdr:row>8</xdr:row>
      <xdr:rowOff>6128</xdr:rowOff>
    </xdr:from>
    <xdr:to>
      <xdr:col>9</xdr:col>
      <xdr:colOff>253999</xdr:colOff>
      <xdr:row>10</xdr:row>
      <xdr:rowOff>165100</xdr:rowOff>
    </xdr:to>
    <xdr:sp macro="" textlink="Sheet11!K17">
      <xdr:nvSpPr>
        <xdr:cNvPr id="38" name="TextBox 37">
          <a:extLst>
            <a:ext uri="{FF2B5EF4-FFF2-40B4-BE49-F238E27FC236}">
              <a16:creationId xmlns:a16="http://schemas.microsoft.com/office/drawing/2014/main" id="{58D657AF-428D-6938-6779-31FDEA4AC5B2}"/>
            </a:ext>
          </a:extLst>
        </xdr:cNvPr>
        <xdr:cNvSpPr txBox="1"/>
      </xdr:nvSpPr>
      <xdr:spPr>
        <a:xfrm>
          <a:off x="4662936" y="1530128"/>
          <a:ext cx="1077463" cy="53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D816D2-BD46-4272-90AE-96D9D4153996}" type="TxLink">
            <a:rPr lang="en-US" sz="2800" b="1" i="0" u="none" strike="noStrike">
              <a:solidFill>
                <a:srgbClr val="000000"/>
              </a:solidFill>
              <a:latin typeface="Aptos Narrow"/>
            </a:rPr>
            <a:pPr/>
            <a:t>4389</a:t>
          </a:fld>
          <a:endParaRPr lang="en-GB" sz="6000" b="1"/>
        </a:p>
      </xdr:txBody>
    </xdr:sp>
    <xdr:clientData/>
  </xdr:twoCellAnchor>
  <xdr:twoCellAnchor>
    <xdr:from>
      <xdr:col>11</xdr:col>
      <xdr:colOff>304469</xdr:colOff>
      <xdr:row>7</xdr:row>
      <xdr:rowOff>171228</xdr:rowOff>
    </xdr:from>
    <xdr:to>
      <xdr:col>13</xdr:col>
      <xdr:colOff>253074</xdr:colOff>
      <xdr:row>11</xdr:row>
      <xdr:rowOff>221</xdr:rowOff>
    </xdr:to>
    <xdr:sp macro="" textlink="Sheet11!K20">
      <xdr:nvSpPr>
        <xdr:cNvPr id="39" name="TextBox 38">
          <a:extLst>
            <a:ext uri="{FF2B5EF4-FFF2-40B4-BE49-F238E27FC236}">
              <a16:creationId xmlns:a16="http://schemas.microsoft.com/office/drawing/2014/main" id="{992E78AD-8F22-2F06-D575-2AF781CB7B8B}"/>
            </a:ext>
          </a:extLst>
        </xdr:cNvPr>
        <xdr:cNvSpPr txBox="1"/>
      </xdr:nvSpPr>
      <xdr:spPr>
        <a:xfrm>
          <a:off x="6976708" y="1431750"/>
          <a:ext cx="1161739" cy="549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DC59C2-70E7-4A35-B9C8-3D9DD12A71CF}" type="TxLink">
            <a:rPr lang="en-US" sz="2800" b="1" i="0" u="none" strike="noStrike">
              <a:solidFill>
                <a:srgbClr val="000000"/>
              </a:solidFill>
              <a:latin typeface="+mj-lt"/>
            </a:rPr>
            <a:pPr/>
            <a:t>5.01</a:t>
          </a:fld>
          <a:r>
            <a:rPr lang="en-US" sz="2800" b="1" i="0" u="none" strike="noStrike">
              <a:solidFill>
                <a:srgbClr val="000000"/>
              </a:solidFill>
              <a:latin typeface="+mj-lt"/>
            </a:rPr>
            <a:t>%</a:t>
          </a:r>
          <a:endParaRPr lang="en-GB" sz="6000" b="1">
            <a:latin typeface="+mj-lt"/>
          </a:endParaRPr>
        </a:p>
      </xdr:txBody>
    </xdr:sp>
    <xdr:clientData/>
  </xdr:twoCellAnchor>
  <xdr:twoCellAnchor>
    <xdr:from>
      <xdr:col>15</xdr:col>
      <xdr:colOff>358539</xdr:colOff>
      <xdr:row>7</xdr:row>
      <xdr:rowOff>152272</xdr:rowOff>
    </xdr:from>
    <xdr:to>
      <xdr:col>17</xdr:col>
      <xdr:colOff>349469</xdr:colOff>
      <xdr:row>10</xdr:row>
      <xdr:rowOff>152270</xdr:rowOff>
    </xdr:to>
    <xdr:sp macro="" textlink="">
      <xdr:nvSpPr>
        <xdr:cNvPr id="40" name="TextBox 39">
          <a:extLst>
            <a:ext uri="{FF2B5EF4-FFF2-40B4-BE49-F238E27FC236}">
              <a16:creationId xmlns:a16="http://schemas.microsoft.com/office/drawing/2014/main" id="{0D7018C3-F671-3831-032E-42D86B006DF2}"/>
            </a:ext>
          </a:extLst>
        </xdr:cNvPr>
        <xdr:cNvSpPr txBox="1"/>
      </xdr:nvSpPr>
      <xdr:spPr>
        <a:xfrm>
          <a:off x="9457046" y="1412794"/>
          <a:ext cx="1204065" cy="540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t>3</a:t>
          </a:r>
          <a:r>
            <a:rPr lang="en-GB" sz="2800" b="1" baseline="0"/>
            <a:t> Days</a:t>
          </a:r>
          <a:endParaRPr lang="en-GB" sz="2800" b="1"/>
        </a:p>
      </xdr:txBody>
    </xdr:sp>
    <xdr:clientData/>
  </xdr:twoCellAnchor>
  <xdr:twoCellAnchor>
    <xdr:from>
      <xdr:col>19</xdr:col>
      <xdr:colOff>407744</xdr:colOff>
      <xdr:row>7</xdr:row>
      <xdr:rowOff>152272</xdr:rowOff>
    </xdr:from>
    <xdr:to>
      <xdr:col>21</xdr:col>
      <xdr:colOff>469900</xdr:colOff>
      <xdr:row>10</xdr:row>
      <xdr:rowOff>152400</xdr:rowOff>
    </xdr:to>
    <xdr:sp macro="" textlink="Sheet11!H15">
      <xdr:nvSpPr>
        <xdr:cNvPr id="41" name="TextBox 40">
          <a:extLst>
            <a:ext uri="{FF2B5EF4-FFF2-40B4-BE49-F238E27FC236}">
              <a16:creationId xmlns:a16="http://schemas.microsoft.com/office/drawing/2014/main" id="{89F11C8F-2740-7BD0-24E7-4C44194B4948}"/>
            </a:ext>
          </a:extLst>
        </xdr:cNvPr>
        <xdr:cNvSpPr txBox="1"/>
      </xdr:nvSpPr>
      <xdr:spPr>
        <a:xfrm>
          <a:off x="11990144" y="1485772"/>
          <a:ext cx="1281356" cy="57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F72691-4330-4132-BC92-D4EEE9CC2EF4}" type="TxLink">
            <a:rPr lang="en-US" sz="3200" b="1" i="0" u="none" strike="noStrike">
              <a:solidFill>
                <a:srgbClr val="000000"/>
              </a:solidFill>
              <a:latin typeface="Aptos Narrow"/>
            </a:rPr>
            <a:pPr/>
            <a:t>90.5</a:t>
          </a:fld>
          <a:r>
            <a:rPr lang="en-US" sz="3200" b="1" i="0" u="none" strike="noStrike">
              <a:solidFill>
                <a:srgbClr val="000000"/>
              </a:solidFill>
              <a:latin typeface="Aptos Narrow"/>
            </a:rPr>
            <a:t>%</a:t>
          </a:r>
          <a:endParaRPr lang="en-GB" sz="6600" b="1"/>
        </a:p>
      </xdr:txBody>
    </xdr:sp>
    <xdr:clientData/>
  </xdr:twoCellAnchor>
  <xdr:twoCellAnchor>
    <xdr:from>
      <xdr:col>1</xdr:col>
      <xdr:colOff>177800</xdr:colOff>
      <xdr:row>0</xdr:row>
      <xdr:rowOff>114300</xdr:rowOff>
    </xdr:from>
    <xdr:to>
      <xdr:col>26</xdr:col>
      <xdr:colOff>139700</xdr:colOff>
      <xdr:row>5</xdr:row>
      <xdr:rowOff>12700</xdr:rowOff>
    </xdr:to>
    <xdr:sp macro="" textlink="">
      <xdr:nvSpPr>
        <xdr:cNvPr id="53" name="Rectangle: Rounded Corners 52">
          <a:extLst>
            <a:ext uri="{FF2B5EF4-FFF2-40B4-BE49-F238E27FC236}">
              <a16:creationId xmlns:a16="http://schemas.microsoft.com/office/drawing/2014/main" id="{66E94C41-9C7C-D45A-9ADB-4E41A224DBB9}"/>
            </a:ext>
          </a:extLst>
        </xdr:cNvPr>
        <xdr:cNvSpPr/>
      </xdr:nvSpPr>
      <xdr:spPr>
        <a:xfrm>
          <a:off x="787400" y="114300"/>
          <a:ext cx="15201900" cy="8509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406400</xdr:colOff>
      <xdr:row>0</xdr:row>
      <xdr:rowOff>174576</xdr:rowOff>
    </xdr:from>
    <xdr:to>
      <xdr:col>25</xdr:col>
      <xdr:colOff>355600</xdr:colOff>
      <xdr:row>5</xdr:row>
      <xdr:rowOff>0</xdr:rowOff>
    </xdr:to>
    <xdr:sp macro="" textlink="">
      <xdr:nvSpPr>
        <xdr:cNvPr id="50" name="TextBox 49">
          <a:extLst>
            <a:ext uri="{FF2B5EF4-FFF2-40B4-BE49-F238E27FC236}">
              <a16:creationId xmlns:a16="http://schemas.microsoft.com/office/drawing/2014/main" id="{9BA0281F-CA8B-E2CF-C835-9E260DC0767A}"/>
            </a:ext>
          </a:extLst>
        </xdr:cNvPr>
        <xdr:cNvSpPr txBox="1"/>
      </xdr:nvSpPr>
      <xdr:spPr>
        <a:xfrm>
          <a:off x="2235200" y="174576"/>
          <a:ext cx="13360400" cy="777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0" cap="none" spc="0">
              <a:ln w="0">
                <a:solidFill>
                  <a:schemeClr val="accent5">
                    <a:lumMod val="40000"/>
                    <a:lumOff val="60000"/>
                  </a:schemeClr>
                </a:solidFill>
              </a:ln>
              <a:gradFill>
                <a:gsLst>
                  <a:gs pos="21000">
                    <a:srgbClr val="53575C"/>
                  </a:gs>
                  <a:gs pos="88000">
                    <a:srgbClr val="C5C7CA"/>
                  </a:gs>
                </a:gsLst>
                <a:lin ang="5400000"/>
              </a:gradFill>
              <a:effectLst/>
              <a:latin typeface="Sitka Text Semibold" pitchFamily="2" charset="0"/>
            </a:rPr>
            <a:t>H O S P I T A L </a:t>
          </a:r>
          <a:r>
            <a:rPr lang="en-GB" sz="3600" b="0" cap="none" spc="0" baseline="0">
              <a:ln w="0">
                <a:solidFill>
                  <a:schemeClr val="accent5">
                    <a:lumMod val="40000"/>
                    <a:lumOff val="60000"/>
                  </a:schemeClr>
                </a:solidFill>
              </a:ln>
              <a:gradFill>
                <a:gsLst>
                  <a:gs pos="21000">
                    <a:srgbClr val="53575C"/>
                  </a:gs>
                  <a:gs pos="88000">
                    <a:srgbClr val="C5C7CA"/>
                  </a:gs>
                </a:gsLst>
                <a:lin ang="5400000"/>
              </a:gradFill>
              <a:effectLst/>
              <a:latin typeface="Sitka Text Semibold" pitchFamily="2" charset="0"/>
            </a:rPr>
            <a:t>  U T I L I Z A T I O N   A N A L Y S I S</a:t>
          </a:r>
          <a:endParaRPr lang="en-GB" sz="3600" b="0" cap="none" spc="0">
            <a:ln w="0">
              <a:solidFill>
                <a:schemeClr val="accent5">
                  <a:lumMod val="40000"/>
                  <a:lumOff val="60000"/>
                </a:schemeClr>
              </a:solidFill>
            </a:ln>
            <a:gradFill>
              <a:gsLst>
                <a:gs pos="21000">
                  <a:srgbClr val="53575C"/>
                </a:gs>
                <a:gs pos="88000">
                  <a:srgbClr val="C5C7CA"/>
                </a:gs>
              </a:gsLst>
              <a:lin ang="5400000"/>
            </a:gradFill>
            <a:effectLst/>
            <a:latin typeface="Sitka Text Semibold" pitchFamily="2" charset="0"/>
          </a:endParaRPr>
        </a:p>
      </xdr:txBody>
    </xdr:sp>
    <xdr:clientData/>
  </xdr:twoCellAnchor>
  <xdr:twoCellAnchor editAs="oneCell">
    <xdr:from>
      <xdr:col>22</xdr:col>
      <xdr:colOff>158750</xdr:colOff>
      <xdr:row>6</xdr:row>
      <xdr:rowOff>21166</xdr:rowOff>
    </xdr:from>
    <xdr:to>
      <xdr:col>26</xdr:col>
      <xdr:colOff>127000</xdr:colOff>
      <xdr:row>20</xdr:row>
      <xdr:rowOff>121705</xdr:rowOff>
    </xdr:to>
    <mc:AlternateContent xmlns:mc="http://schemas.openxmlformats.org/markup-compatibility/2006" xmlns:a14="http://schemas.microsoft.com/office/drawing/2010/main">
      <mc:Choice Requires="a14">
        <xdr:graphicFrame macro="">
          <xdr:nvGraphicFramePr>
            <xdr:cNvPr id="54" name="Months 1">
              <a:extLst>
                <a:ext uri="{FF2B5EF4-FFF2-40B4-BE49-F238E27FC236}">
                  <a16:creationId xmlns:a16="http://schemas.microsoft.com/office/drawing/2014/main" id="{1104785C-CB92-494F-9DEC-8C966C196DD2}"/>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3663083" y="1100666"/>
              <a:ext cx="2423584"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1" refreshedDate="46057.501617361107" createdVersion="8" refreshedVersion="8" minRefreshableVersion="3" recordCount="1000" xr:uid="{87C14BD5-134B-4433-9EBF-18C02C01777C}">
  <cacheSource type="worksheet">
    <worksheetSource name="Table1"/>
  </cacheSource>
  <cacheFields count="11">
    <cacheField name="Month" numFmtId="14">
      <sharedItems containsNonDate="0" count="12">
        <s v="2023-04"/>
        <s v="2023-06"/>
        <s v="2023-10"/>
        <s v="2023-08"/>
        <s v="2023-01"/>
        <s v="2023-03"/>
        <s v="2023-02"/>
        <s v="2023-05"/>
        <s v="2023-07"/>
        <s v="2023-12"/>
        <s v="2023-09"/>
        <s v="2023-11"/>
      </sharedItems>
    </cacheField>
    <cacheField name="State" numFmtId="0">
      <sharedItems count="10">
        <s v="Delta"/>
        <s v="FCT"/>
        <s v="Anambra"/>
        <s v="Lagos"/>
        <s v="Edo"/>
        <s v="Kaduna"/>
        <s v="Kano"/>
        <s v="Borno"/>
        <s v="Rivers"/>
        <s v="Oyo"/>
      </sharedItems>
    </cacheField>
    <cacheField name="Hospital" numFmtId="0">
      <sharedItems count="20">
        <s v="Asaba General Hospital"/>
        <s v="National Hospital Abuja"/>
        <s v="Amaku General Hospital"/>
        <s v="LASUTH"/>
        <s v="Central Hospital Benin"/>
        <s v="Barau Dikko Hospital"/>
        <s v="St Gerard Hospital"/>
        <s v="Murtala Mohammed Hospital"/>
        <s v="Aminu Kano Teaching Hospital"/>
        <s v="Maiduguri Specialist Hospital"/>
        <s v="Braithwaite Memorial Hospital"/>
        <s v="UBTH"/>
        <s v="Warri Central Hospital"/>
        <s v="UMTH"/>
        <s v="UCH Ibadan"/>
        <s v="Ikeja General Hospital"/>
        <s v="Wuse District Hospital"/>
        <s v="Adeoyo Maternity Hospital"/>
        <s v="UPTH"/>
        <s v="NAUTH Nnewi"/>
      </sharedItems>
    </cacheField>
    <cacheField name="Department" numFmtId="0">
      <sharedItems count="6">
        <s v="Pediatrics"/>
        <s v="Outpatient"/>
        <s v="Maternity"/>
        <s v="Internal Medicine"/>
        <s v="Emergency"/>
        <s v="Surgery"/>
      </sharedItems>
    </cacheField>
    <cacheField name="Service" numFmtId="0">
      <sharedItems count="6">
        <s v="Admission"/>
        <s v="Delivery"/>
        <s v="Surgery"/>
        <s v="Consultation"/>
        <s v="Lab Test"/>
        <s v="Medication"/>
      </sharedItems>
    </cacheField>
    <cacheField name="Gender" numFmtId="0">
      <sharedItems count="2">
        <s v="Female"/>
        <s v="Male"/>
      </sharedItems>
    </cacheField>
    <cacheField name="Patients Admitted" numFmtId="0">
      <sharedItems containsSemiMixedTypes="0" containsString="0" containsNumber="1" containsInteger="1" minValue="0" maxValue="13"/>
    </cacheField>
    <cacheField name="Patients Discharged" numFmtId="0">
      <sharedItems containsSemiMixedTypes="0" containsString="0" containsNumber="1" containsInteger="1" minValue="0" maxValue="12"/>
    </cacheField>
    <cacheField name="Mortality Count" numFmtId="0">
      <sharedItems containsSemiMixedTypes="0" containsString="0" containsNumber="1" containsInteger="1" minValue="0" maxValue="3"/>
    </cacheField>
    <cacheField name="Avg Stay (Days)" numFmtId="0">
      <sharedItems containsSemiMixedTypes="0" containsString="0" containsNumber="1" minValue="-0.5" maxValue="5.9"/>
    </cacheField>
    <cacheField name="Months" numFmtId="0">
      <sharedItems count="12">
        <s v="April"/>
        <s v="June"/>
        <s v="October"/>
        <s v="August"/>
        <s v="January"/>
        <s v="March"/>
        <s v="February"/>
        <s v="May"/>
        <s v="July"/>
        <s v="December"/>
        <s v="September"/>
        <s v="November"/>
      </sharedItems>
    </cacheField>
  </cacheFields>
  <extLst>
    <ext xmlns:x14="http://schemas.microsoft.com/office/spreadsheetml/2009/9/main" uri="{725AE2AE-9491-48be-B2B4-4EB974FC3084}">
      <x14:pivotCacheDefinition pivotCacheId="1401964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5"/>
    <n v="5"/>
    <n v="1"/>
    <n v="4.5999999999999996"/>
    <x v="0"/>
  </r>
  <r>
    <x v="0"/>
    <x v="1"/>
    <x v="1"/>
    <x v="0"/>
    <x v="1"/>
    <x v="1"/>
    <n v="3"/>
    <n v="3"/>
    <n v="0"/>
    <n v="3.8"/>
    <x v="0"/>
  </r>
  <r>
    <x v="1"/>
    <x v="1"/>
    <x v="1"/>
    <x v="1"/>
    <x v="2"/>
    <x v="1"/>
    <n v="5"/>
    <n v="5"/>
    <n v="0"/>
    <n v="4.5"/>
    <x v="1"/>
  </r>
  <r>
    <x v="2"/>
    <x v="2"/>
    <x v="2"/>
    <x v="2"/>
    <x v="3"/>
    <x v="0"/>
    <n v="3"/>
    <n v="3"/>
    <n v="0"/>
    <n v="2.8"/>
    <x v="2"/>
  </r>
  <r>
    <x v="2"/>
    <x v="3"/>
    <x v="3"/>
    <x v="1"/>
    <x v="4"/>
    <x v="0"/>
    <n v="5"/>
    <n v="4"/>
    <n v="0"/>
    <n v="3"/>
    <x v="2"/>
  </r>
  <r>
    <x v="3"/>
    <x v="3"/>
    <x v="3"/>
    <x v="3"/>
    <x v="0"/>
    <x v="1"/>
    <n v="3"/>
    <n v="3"/>
    <n v="0"/>
    <n v="1.9"/>
    <x v="3"/>
  </r>
  <r>
    <x v="4"/>
    <x v="4"/>
    <x v="4"/>
    <x v="1"/>
    <x v="3"/>
    <x v="1"/>
    <n v="8"/>
    <n v="8"/>
    <n v="0"/>
    <n v="2"/>
    <x v="4"/>
  </r>
  <r>
    <x v="5"/>
    <x v="5"/>
    <x v="5"/>
    <x v="3"/>
    <x v="3"/>
    <x v="1"/>
    <n v="5"/>
    <n v="4"/>
    <n v="0"/>
    <n v="1.4"/>
    <x v="5"/>
  </r>
  <r>
    <x v="4"/>
    <x v="5"/>
    <x v="6"/>
    <x v="4"/>
    <x v="0"/>
    <x v="0"/>
    <n v="3"/>
    <n v="2"/>
    <n v="0"/>
    <n v="3.9"/>
    <x v="4"/>
  </r>
  <r>
    <x v="2"/>
    <x v="6"/>
    <x v="7"/>
    <x v="5"/>
    <x v="3"/>
    <x v="0"/>
    <n v="2"/>
    <n v="1"/>
    <n v="0"/>
    <n v="3.8"/>
    <x v="2"/>
  </r>
  <r>
    <x v="6"/>
    <x v="5"/>
    <x v="6"/>
    <x v="0"/>
    <x v="2"/>
    <x v="1"/>
    <n v="2"/>
    <n v="2"/>
    <n v="0"/>
    <n v="3.8"/>
    <x v="6"/>
  </r>
  <r>
    <x v="3"/>
    <x v="6"/>
    <x v="8"/>
    <x v="5"/>
    <x v="1"/>
    <x v="0"/>
    <n v="6"/>
    <n v="6"/>
    <n v="0"/>
    <n v="3.3"/>
    <x v="3"/>
  </r>
  <r>
    <x v="0"/>
    <x v="0"/>
    <x v="0"/>
    <x v="1"/>
    <x v="0"/>
    <x v="1"/>
    <n v="1"/>
    <n v="1"/>
    <n v="0"/>
    <n v="3.1"/>
    <x v="0"/>
  </r>
  <r>
    <x v="7"/>
    <x v="7"/>
    <x v="9"/>
    <x v="0"/>
    <x v="4"/>
    <x v="1"/>
    <n v="5"/>
    <n v="5"/>
    <n v="0"/>
    <n v="1"/>
    <x v="7"/>
  </r>
  <r>
    <x v="5"/>
    <x v="8"/>
    <x v="10"/>
    <x v="3"/>
    <x v="0"/>
    <x v="0"/>
    <n v="11"/>
    <n v="11"/>
    <n v="0"/>
    <n v="3.3"/>
    <x v="5"/>
  </r>
  <r>
    <x v="8"/>
    <x v="4"/>
    <x v="11"/>
    <x v="2"/>
    <x v="1"/>
    <x v="1"/>
    <n v="1"/>
    <n v="1"/>
    <n v="0"/>
    <n v="3.3"/>
    <x v="8"/>
  </r>
  <r>
    <x v="2"/>
    <x v="0"/>
    <x v="12"/>
    <x v="0"/>
    <x v="5"/>
    <x v="1"/>
    <n v="4"/>
    <n v="3"/>
    <n v="0"/>
    <n v="3"/>
    <x v="2"/>
  </r>
  <r>
    <x v="7"/>
    <x v="5"/>
    <x v="6"/>
    <x v="1"/>
    <x v="4"/>
    <x v="0"/>
    <n v="2"/>
    <n v="2"/>
    <n v="0"/>
    <n v="1.3"/>
    <x v="7"/>
  </r>
  <r>
    <x v="1"/>
    <x v="4"/>
    <x v="11"/>
    <x v="3"/>
    <x v="3"/>
    <x v="0"/>
    <n v="3"/>
    <n v="3"/>
    <n v="0"/>
    <n v="4.0999999999999996"/>
    <x v="1"/>
  </r>
  <r>
    <x v="4"/>
    <x v="0"/>
    <x v="0"/>
    <x v="4"/>
    <x v="2"/>
    <x v="1"/>
    <n v="6"/>
    <n v="5"/>
    <n v="0"/>
    <n v="3.8"/>
    <x v="4"/>
  </r>
  <r>
    <x v="8"/>
    <x v="8"/>
    <x v="10"/>
    <x v="2"/>
    <x v="4"/>
    <x v="1"/>
    <n v="2"/>
    <n v="2"/>
    <n v="0"/>
    <n v="1.4"/>
    <x v="8"/>
  </r>
  <r>
    <x v="7"/>
    <x v="8"/>
    <x v="10"/>
    <x v="0"/>
    <x v="2"/>
    <x v="1"/>
    <n v="5"/>
    <n v="5"/>
    <n v="0"/>
    <n v="3.1"/>
    <x v="7"/>
  </r>
  <r>
    <x v="1"/>
    <x v="0"/>
    <x v="0"/>
    <x v="3"/>
    <x v="4"/>
    <x v="0"/>
    <n v="8"/>
    <n v="6"/>
    <n v="1"/>
    <n v="1.6"/>
    <x v="1"/>
  </r>
  <r>
    <x v="8"/>
    <x v="5"/>
    <x v="6"/>
    <x v="4"/>
    <x v="0"/>
    <x v="1"/>
    <n v="7"/>
    <n v="5"/>
    <n v="0"/>
    <n v="4.2"/>
    <x v="8"/>
  </r>
  <r>
    <x v="7"/>
    <x v="6"/>
    <x v="8"/>
    <x v="5"/>
    <x v="3"/>
    <x v="1"/>
    <n v="1"/>
    <n v="1"/>
    <n v="0"/>
    <n v="3.2"/>
    <x v="7"/>
  </r>
  <r>
    <x v="8"/>
    <x v="7"/>
    <x v="13"/>
    <x v="4"/>
    <x v="4"/>
    <x v="1"/>
    <n v="5"/>
    <n v="4"/>
    <n v="0"/>
    <n v="1.8"/>
    <x v="8"/>
  </r>
  <r>
    <x v="6"/>
    <x v="4"/>
    <x v="11"/>
    <x v="0"/>
    <x v="4"/>
    <x v="0"/>
    <n v="5"/>
    <n v="5"/>
    <n v="1"/>
    <n v="3.9"/>
    <x v="6"/>
  </r>
  <r>
    <x v="2"/>
    <x v="5"/>
    <x v="5"/>
    <x v="4"/>
    <x v="3"/>
    <x v="1"/>
    <n v="7"/>
    <n v="7"/>
    <n v="0"/>
    <n v="2.8"/>
    <x v="2"/>
  </r>
  <r>
    <x v="1"/>
    <x v="4"/>
    <x v="11"/>
    <x v="2"/>
    <x v="1"/>
    <x v="0"/>
    <n v="5"/>
    <n v="3"/>
    <n v="0"/>
    <n v="2.5"/>
    <x v="1"/>
  </r>
  <r>
    <x v="9"/>
    <x v="7"/>
    <x v="13"/>
    <x v="2"/>
    <x v="5"/>
    <x v="0"/>
    <n v="6"/>
    <n v="5"/>
    <n v="0"/>
    <n v="3.8"/>
    <x v="9"/>
  </r>
  <r>
    <x v="3"/>
    <x v="1"/>
    <x v="1"/>
    <x v="5"/>
    <x v="2"/>
    <x v="1"/>
    <n v="8"/>
    <n v="8"/>
    <n v="1"/>
    <n v="3.3"/>
    <x v="3"/>
  </r>
  <r>
    <x v="6"/>
    <x v="5"/>
    <x v="6"/>
    <x v="3"/>
    <x v="5"/>
    <x v="0"/>
    <n v="10"/>
    <n v="9"/>
    <n v="0"/>
    <n v="3.3"/>
    <x v="6"/>
  </r>
  <r>
    <x v="7"/>
    <x v="9"/>
    <x v="14"/>
    <x v="4"/>
    <x v="3"/>
    <x v="0"/>
    <n v="4"/>
    <n v="4"/>
    <n v="1"/>
    <n v="2.1"/>
    <x v="7"/>
  </r>
  <r>
    <x v="6"/>
    <x v="1"/>
    <x v="1"/>
    <x v="2"/>
    <x v="5"/>
    <x v="0"/>
    <n v="4"/>
    <n v="4"/>
    <n v="0"/>
    <n v="2.7"/>
    <x v="6"/>
  </r>
  <r>
    <x v="2"/>
    <x v="4"/>
    <x v="4"/>
    <x v="5"/>
    <x v="1"/>
    <x v="0"/>
    <n v="8"/>
    <n v="8"/>
    <n v="0"/>
    <n v="2.2000000000000002"/>
    <x v="2"/>
  </r>
  <r>
    <x v="4"/>
    <x v="5"/>
    <x v="6"/>
    <x v="0"/>
    <x v="2"/>
    <x v="1"/>
    <n v="3"/>
    <n v="3"/>
    <n v="0"/>
    <n v="4.7"/>
    <x v="4"/>
  </r>
  <r>
    <x v="8"/>
    <x v="3"/>
    <x v="15"/>
    <x v="2"/>
    <x v="2"/>
    <x v="0"/>
    <n v="7"/>
    <n v="6"/>
    <n v="0"/>
    <n v="2.8"/>
    <x v="8"/>
  </r>
  <r>
    <x v="10"/>
    <x v="4"/>
    <x v="11"/>
    <x v="1"/>
    <x v="4"/>
    <x v="0"/>
    <n v="3"/>
    <n v="3"/>
    <n v="0"/>
    <n v="4.9000000000000004"/>
    <x v="10"/>
  </r>
  <r>
    <x v="8"/>
    <x v="7"/>
    <x v="13"/>
    <x v="0"/>
    <x v="0"/>
    <x v="0"/>
    <n v="3"/>
    <n v="3"/>
    <n v="0"/>
    <n v="3.4"/>
    <x v="8"/>
  </r>
  <r>
    <x v="3"/>
    <x v="5"/>
    <x v="6"/>
    <x v="2"/>
    <x v="2"/>
    <x v="1"/>
    <n v="3"/>
    <n v="3"/>
    <n v="1"/>
    <n v="3.9"/>
    <x v="3"/>
  </r>
  <r>
    <x v="2"/>
    <x v="1"/>
    <x v="16"/>
    <x v="2"/>
    <x v="2"/>
    <x v="0"/>
    <n v="9"/>
    <n v="9"/>
    <n v="0"/>
    <n v="2.5"/>
    <x v="2"/>
  </r>
  <r>
    <x v="5"/>
    <x v="4"/>
    <x v="4"/>
    <x v="2"/>
    <x v="5"/>
    <x v="1"/>
    <n v="2"/>
    <n v="1"/>
    <n v="0"/>
    <n v="3.2"/>
    <x v="5"/>
  </r>
  <r>
    <x v="0"/>
    <x v="5"/>
    <x v="5"/>
    <x v="5"/>
    <x v="3"/>
    <x v="1"/>
    <n v="7"/>
    <n v="6"/>
    <n v="1"/>
    <n v="3"/>
    <x v="0"/>
  </r>
  <r>
    <x v="10"/>
    <x v="6"/>
    <x v="8"/>
    <x v="4"/>
    <x v="1"/>
    <x v="0"/>
    <n v="8"/>
    <n v="6"/>
    <n v="0"/>
    <n v="3.1"/>
    <x v="10"/>
  </r>
  <r>
    <x v="0"/>
    <x v="8"/>
    <x v="10"/>
    <x v="1"/>
    <x v="1"/>
    <x v="0"/>
    <n v="4"/>
    <n v="3"/>
    <n v="0"/>
    <n v="3.3"/>
    <x v="0"/>
  </r>
  <r>
    <x v="11"/>
    <x v="9"/>
    <x v="14"/>
    <x v="5"/>
    <x v="3"/>
    <x v="0"/>
    <n v="8"/>
    <n v="7"/>
    <n v="0"/>
    <n v="2.9"/>
    <x v="11"/>
  </r>
  <r>
    <x v="0"/>
    <x v="1"/>
    <x v="16"/>
    <x v="3"/>
    <x v="0"/>
    <x v="0"/>
    <n v="4"/>
    <n v="4"/>
    <n v="0"/>
    <n v="3.4"/>
    <x v="0"/>
  </r>
  <r>
    <x v="8"/>
    <x v="0"/>
    <x v="0"/>
    <x v="2"/>
    <x v="4"/>
    <x v="1"/>
    <n v="2"/>
    <n v="2"/>
    <n v="0"/>
    <n v="2.4"/>
    <x v="8"/>
  </r>
  <r>
    <x v="9"/>
    <x v="0"/>
    <x v="12"/>
    <x v="4"/>
    <x v="2"/>
    <x v="0"/>
    <n v="3"/>
    <n v="1"/>
    <n v="0"/>
    <n v="4.2"/>
    <x v="9"/>
  </r>
  <r>
    <x v="9"/>
    <x v="2"/>
    <x v="2"/>
    <x v="3"/>
    <x v="0"/>
    <x v="0"/>
    <n v="7"/>
    <n v="5"/>
    <n v="0"/>
    <n v="2.5"/>
    <x v="9"/>
  </r>
  <r>
    <x v="0"/>
    <x v="7"/>
    <x v="9"/>
    <x v="0"/>
    <x v="4"/>
    <x v="0"/>
    <n v="1"/>
    <n v="1"/>
    <n v="0"/>
    <n v="4.3"/>
    <x v="0"/>
  </r>
  <r>
    <x v="11"/>
    <x v="6"/>
    <x v="8"/>
    <x v="0"/>
    <x v="3"/>
    <x v="0"/>
    <n v="7"/>
    <n v="5"/>
    <n v="0"/>
    <n v="3.8"/>
    <x v="11"/>
  </r>
  <r>
    <x v="6"/>
    <x v="5"/>
    <x v="6"/>
    <x v="2"/>
    <x v="0"/>
    <x v="0"/>
    <n v="7"/>
    <n v="6"/>
    <n v="0"/>
    <n v="4.2"/>
    <x v="6"/>
  </r>
  <r>
    <x v="7"/>
    <x v="7"/>
    <x v="13"/>
    <x v="1"/>
    <x v="3"/>
    <x v="0"/>
    <n v="5"/>
    <n v="4"/>
    <n v="0"/>
    <n v="4.8"/>
    <x v="7"/>
  </r>
  <r>
    <x v="6"/>
    <x v="7"/>
    <x v="9"/>
    <x v="0"/>
    <x v="3"/>
    <x v="1"/>
    <n v="4"/>
    <n v="2"/>
    <n v="2"/>
    <n v="3.3"/>
    <x v="6"/>
  </r>
  <r>
    <x v="9"/>
    <x v="3"/>
    <x v="3"/>
    <x v="2"/>
    <x v="0"/>
    <x v="0"/>
    <n v="9"/>
    <n v="7"/>
    <n v="1"/>
    <n v="4.9000000000000004"/>
    <x v="9"/>
  </r>
  <r>
    <x v="7"/>
    <x v="2"/>
    <x v="2"/>
    <x v="1"/>
    <x v="4"/>
    <x v="1"/>
    <n v="1"/>
    <n v="1"/>
    <n v="0"/>
    <n v="1.3"/>
    <x v="7"/>
  </r>
  <r>
    <x v="1"/>
    <x v="4"/>
    <x v="4"/>
    <x v="2"/>
    <x v="5"/>
    <x v="0"/>
    <n v="6"/>
    <n v="5"/>
    <n v="1"/>
    <n v="4.4000000000000004"/>
    <x v="1"/>
  </r>
  <r>
    <x v="8"/>
    <x v="1"/>
    <x v="16"/>
    <x v="1"/>
    <x v="1"/>
    <x v="1"/>
    <n v="8"/>
    <n v="6"/>
    <n v="0"/>
    <n v="3.7"/>
    <x v="8"/>
  </r>
  <r>
    <x v="9"/>
    <x v="5"/>
    <x v="5"/>
    <x v="3"/>
    <x v="4"/>
    <x v="1"/>
    <n v="6"/>
    <n v="5"/>
    <n v="0"/>
    <n v="1.9"/>
    <x v="9"/>
  </r>
  <r>
    <x v="3"/>
    <x v="9"/>
    <x v="14"/>
    <x v="5"/>
    <x v="5"/>
    <x v="0"/>
    <n v="4"/>
    <n v="3"/>
    <n v="0"/>
    <n v="2"/>
    <x v="3"/>
  </r>
  <r>
    <x v="5"/>
    <x v="6"/>
    <x v="7"/>
    <x v="3"/>
    <x v="4"/>
    <x v="0"/>
    <n v="1"/>
    <n v="1"/>
    <n v="0"/>
    <n v="3.7"/>
    <x v="5"/>
  </r>
  <r>
    <x v="7"/>
    <x v="5"/>
    <x v="5"/>
    <x v="0"/>
    <x v="2"/>
    <x v="1"/>
    <n v="7"/>
    <n v="5"/>
    <n v="1"/>
    <n v="1.3"/>
    <x v="7"/>
  </r>
  <r>
    <x v="10"/>
    <x v="6"/>
    <x v="8"/>
    <x v="5"/>
    <x v="0"/>
    <x v="0"/>
    <n v="6"/>
    <n v="6"/>
    <n v="0"/>
    <n v="2.9"/>
    <x v="10"/>
  </r>
  <r>
    <x v="7"/>
    <x v="3"/>
    <x v="3"/>
    <x v="4"/>
    <x v="3"/>
    <x v="1"/>
    <n v="3"/>
    <n v="3"/>
    <n v="1"/>
    <n v="5.0999999999999996"/>
    <x v="7"/>
  </r>
  <r>
    <x v="6"/>
    <x v="4"/>
    <x v="11"/>
    <x v="0"/>
    <x v="3"/>
    <x v="0"/>
    <n v="2"/>
    <n v="2"/>
    <n v="0"/>
    <n v="2.7"/>
    <x v="6"/>
  </r>
  <r>
    <x v="2"/>
    <x v="7"/>
    <x v="13"/>
    <x v="4"/>
    <x v="3"/>
    <x v="0"/>
    <n v="2"/>
    <n v="2"/>
    <n v="0"/>
    <n v="3.1"/>
    <x v="2"/>
  </r>
  <r>
    <x v="1"/>
    <x v="4"/>
    <x v="11"/>
    <x v="4"/>
    <x v="1"/>
    <x v="1"/>
    <n v="4"/>
    <n v="3"/>
    <n v="1"/>
    <n v="0.7"/>
    <x v="1"/>
  </r>
  <r>
    <x v="11"/>
    <x v="7"/>
    <x v="13"/>
    <x v="0"/>
    <x v="1"/>
    <x v="0"/>
    <n v="4"/>
    <n v="4"/>
    <n v="0"/>
    <n v="5.4"/>
    <x v="11"/>
  </r>
  <r>
    <x v="0"/>
    <x v="1"/>
    <x v="1"/>
    <x v="2"/>
    <x v="3"/>
    <x v="0"/>
    <n v="3"/>
    <n v="3"/>
    <n v="0"/>
    <n v="2.7"/>
    <x v="0"/>
  </r>
  <r>
    <x v="10"/>
    <x v="3"/>
    <x v="3"/>
    <x v="5"/>
    <x v="1"/>
    <x v="1"/>
    <n v="5"/>
    <n v="5"/>
    <n v="0"/>
    <n v="2.8"/>
    <x v="10"/>
  </r>
  <r>
    <x v="4"/>
    <x v="7"/>
    <x v="13"/>
    <x v="3"/>
    <x v="2"/>
    <x v="1"/>
    <n v="3"/>
    <n v="2"/>
    <n v="0"/>
    <n v="3"/>
    <x v="4"/>
  </r>
  <r>
    <x v="4"/>
    <x v="2"/>
    <x v="2"/>
    <x v="1"/>
    <x v="4"/>
    <x v="0"/>
    <n v="6"/>
    <n v="6"/>
    <n v="0"/>
    <n v="2.1"/>
    <x v="4"/>
  </r>
  <r>
    <x v="0"/>
    <x v="3"/>
    <x v="15"/>
    <x v="4"/>
    <x v="3"/>
    <x v="0"/>
    <n v="6"/>
    <n v="6"/>
    <n v="0"/>
    <n v="1.6"/>
    <x v="0"/>
  </r>
  <r>
    <x v="11"/>
    <x v="1"/>
    <x v="1"/>
    <x v="5"/>
    <x v="4"/>
    <x v="0"/>
    <n v="3"/>
    <n v="2"/>
    <n v="0"/>
    <n v="0.5"/>
    <x v="11"/>
  </r>
  <r>
    <x v="7"/>
    <x v="8"/>
    <x v="10"/>
    <x v="2"/>
    <x v="1"/>
    <x v="0"/>
    <n v="7"/>
    <n v="6"/>
    <n v="1"/>
    <n v="3.7"/>
    <x v="7"/>
  </r>
  <r>
    <x v="2"/>
    <x v="3"/>
    <x v="3"/>
    <x v="3"/>
    <x v="2"/>
    <x v="1"/>
    <n v="5"/>
    <n v="5"/>
    <n v="0"/>
    <n v="2.5"/>
    <x v="2"/>
  </r>
  <r>
    <x v="7"/>
    <x v="3"/>
    <x v="15"/>
    <x v="4"/>
    <x v="2"/>
    <x v="1"/>
    <n v="5"/>
    <n v="5"/>
    <n v="0"/>
    <n v="2.7"/>
    <x v="7"/>
  </r>
  <r>
    <x v="7"/>
    <x v="9"/>
    <x v="17"/>
    <x v="0"/>
    <x v="0"/>
    <x v="0"/>
    <n v="3"/>
    <n v="2"/>
    <n v="0"/>
    <n v="4.0999999999999996"/>
    <x v="7"/>
  </r>
  <r>
    <x v="1"/>
    <x v="9"/>
    <x v="14"/>
    <x v="3"/>
    <x v="2"/>
    <x v="0"/>
    <n v="7"/>
    <n v="6"/>
    <n v="1"/>
    <n v="3.8"/>
    <x v="1"/>
  </r>
  <r>
    <x v="10"/>
    <x v="8"/>
    <x v="18"/>
    <x v="4"/>
    <x v="3"/>
    <x v="1"/>
    <n v="3"/>
    <n v="2"/>
    <n v="0"/>
    <n v="2.4"/>
    <x v="10"/>
  </r>
  <r>
    <x v="1"/>
    <x v="9"/>
    <x v="14"/>
    <x v="3"/>
    <x v="2"/>
    <x v="1"/>
    <n v="5"/>
    <n v="4"/>
    <n v="0"/>
    <n v="3.6"/>
    <x v="1"/>
  </r>
  <r>
    <x v="0"/>
    <x v="9"/>
    <x v="17"/>
    <x v="5"/>
    <x v="0"/>
    <x v="1"/>
    <n v="7"/>
    <n v="5"/>
    <n v="0"/>
    <n v="3.9"/>
    <x v="0"/>
  </r>
  <r>
    <x v="9"/>
    <x v="5"/>
    <x v="6"/>
    <x v="4"/>
    <x v="1"/>
    <x v="0"/>
    <n v="5"/>
    <n v="4"/>
    <n v="0"/>
    <n v="3.1"/>
    <x v="9"/>
  </r>
  <r>
    <x v="7"/>
    <x v="6"/>
    <x v="8"/>
    <x v="4"/>
    <x v="5"/>
    <x v="0"/>
    <n v="5"/>
    <n v="4"/>
    <n v="0"/>
    <n v="4.5"/>
    <x v="7"/>
  </r>
  <r>
    <x v="7"/>
    <x v="3"/>
    <x v="3"/>
    <x v="0"/>
    <x v="1"/>
    <x v="1"/>
    <n v="5"/>
    <n v="5"/>
    <n v="1"/>
    <n v="3.4"/>
    <x v="7"/>
  </r>
  <r>
    <x v="2"/>
    <x v="5"/>
    <x v="6"/>
    <x v="3"/>
    <x v="2"/>
    <x v="1"/>
    <n v="6"/>
    <n v="6"/>
    <n v="0"/>
    <n v="1.2"/>
    <x v="2"/>
  </r>
  <r>
    <x v="7"/>
    <x v="1"/>
    <x v="1"/>
    <x v="3"/>
    <x v="2"/>
    <x v="1"/>
    <n v="6"/>
    <n v="5"/>
    <n v="1"/>
    <n v="4.5"/>
    <x v="7"/>
  </r>
  <r>
    <x v="10"/>
    <x v="3"/>
    <x v="3"/>
    <x v="0"/>
    <x v="4"/>
    <x v="0"/>
    <n v="7"/>
    <n v="6"/>
    <n v="1"/>
    <n v="2.9"/>
    <x v="10"/>
  </r>
  <r>
    <x v="0"/>
    <x v="6"/>
    <x v="8"/>
    <x v="5"/>
    <x v="1"/>
    <x v="1"/>
    <n v="6"/>
    <n v="5"/>
    <n v="0"/>
    <n v="3.8"/>
    <x v="0"/>
  </r>
  <r>
    <x v="2"/>
    <x v="4"/>
    <x v="11"/>
    <x v="1"/>
    <x v="3"/>
    <x v="0"/>
    <n v="3"/>
    <n v="3"/>
    <n v="0"/>
    <n v="3.8"/>
    <x v="2"/>
  </r>
  <r>
    <x v="4"/>
    <x v="0"/>
    <x v="0"/>
    <x v="5"/>
    <x v="1"/>
    <x v="0"/>
    <n v="5"/>
    <n v="5"/>
    <n v="0"/>
    <n v="3.1"/>
    <x v="4"/>
  </r>
  <r>
    <x v="2"/>
    <x v="0"/>
    <x v="12"/>
    <x v="0"/>
    <x v="5"/>
    <x v="0"/>
    <n v="6"/>
    <n v="5"/>
    <n v="0"/>
    <n v="2.2000000000000002"/>
    <x v="2"/>
  </r>
  <r>
    <x v="9"/>
    <x v="1"/>
    <x v="16"/>
    <x v="5"/>
    <x v="0"/>
    <x v="0"/>
    <n v="5"/>
    <n v="4"/>
    <n v="0"/>
    <n v="2.8"/>
    <x v="9"/>
  </r>
  <r>
    <x v="3"/>
    <x v="0"/>
    <x v="12"/>
    <x v="0"/>
    <x v="0"/>
    <x v="1"/>
    <n v="2"/>
    <n v="2"/>
    <n v="0"/>
    <n v="2.7"/>
    <x v="3"/>
  </r>
  <r>
    <x v="5"/>
    <x v="4"/>
    <x v="11"/>
    <x v="0"/>
    <x v="4"/>
    <x v="0"/>
    <n v="5"/>
    <n v="4"/>
    <n v="1"/>
    <n v="4.5"/>
    <x v="5"/>
  </r>
  <r>
    <x v="10"/>
    <x v="8"/>
    <x v="10"/>
    <x v="0"/>
    <x v="1"/>
    <x v="1"/>
    <n v="4"/>
    <n v="4"/>
    <n v="0"/>
    <n v="2.9"/>
    <x v="10"/>
  </r>
  <r>
    <x v="11"/>
    <x v="6"/>
    <x v="7"/>
    <x v="0"/>
    <x v="5"/>
    <x v="0"/>
    <n v="3"/>
    <n v="3"/>
    <n v="0"/>
    <n v="3"/>
    <x v="11"/>
  </r>
  <r>
    <x v="9"/>
    <x v="5"/>
    <x v="6"/>
    <x v="0"/>
    <x v="4"/>
    <x v="0"/>
    <n v="3"/>
    <n v="3"/>
    <n v="0"/>
    <n v="3.2"/>
    <x v="9"/>
  </r>
  <r>
    <x v="3"/>
    <x v="1"/>
    <x v="1"/>
    <x v="1"/>
    <x v="1"/>
    <x v="1"/>
    <n v="5"/>
    <n v="5"/>
    <n v="0"/>
    <n v="3.3"/>
    <x v="3"/>
  </r>
  <r>
    <x v="8"/>
    <x v="4"/>
    <x v="11"/>
    <x v="5"/>
    <x v="5"/>
    <x v="0"/>
    <n v="1"/>
    <n v="1"/>
    <n v="0"/>
    <n v="1.8"/>
    <x v="8"/>
  </r>
  <r>
    <x v="10"/>
    <x v="7"/>
    <x v="13"/>
    <x v="1"/>
    <x v="0"/>
    <x v="1"/>
    <n v="6"/>
    <n v="6"/>
    <n v="1"/>
    <n v="2.2000000000000002"/>
    <x v="10"/>
  </r>
  <r>
    <x v="6"/>
    <x v="5"/>
    <x v="5"/>
    <x v="3"/>
    <x v="1"/>
    <x v="1"/>
    <n v="7"/>
    <n v="7"/>
    <n v="0"/>
    <n v="1.7"/>
    <x v="6"/>
  </r>
  <r>
    <x v="11"/>
    <x v="9"/>
    <x v="14"/>
    <x v="1"/>
    <x v="3"/>
    <x v="1"/>
    <n v="5"/>
    <n v="5"/>
    <n v="1"/>
    <n v="3.7"/>
    <x v="11"/>
  </r>
  <r>
    <x v="2"/>
    <x v="2"/>
    <x v="2"/>
    <x v="2"/>
    <x v="1"/>
    <x v="0"/>
    <n v="4"/>
    <n v="3"/>
    <n v="0"/>
    <n v="4.5999999999999996"/>
    <x v="2"/>
  </r>
  <r>
    <x v="5"/>
    <x v="5"/>
    <x v="6"/>
    <x v="3"/>
    <x v="5"/>
    <x v="1"/>
    <n v="6"/>
    <n v="6"/>
    <n v="1"/>
    <n v="4.5999999999999996"/>
    <x v="5"/>
  </r>
  <r>
    <x v="1"/>
    <x v="5"/>
    <x v="5"/>
    <x v="2"/>
    <x v="0"/>
    <x v="1"/>
    <n v="3"/>
    <n v="3"/>
    <n v="0"/>
    <n v="2"/>
    <x v="1"/>
  </r>
  <r>
    <x v="2"/>
    <x v="9"/>
    <x v="17"/>
    <x v="1"/>
    <x v="3"/>
    <x v="0"/>
    <n v="6"/>
    <n v="6"/>
    <n v="0"/>
    <n v="4.0999999999999996"/>
    <x v="2"/>
  </r>
  <r>
    <x v="11"/>
    <x v="9"/>
    <x v="14"/>
    <x v="0"/>
    <x v="3"/>
    <x v="0"/>
    <n v="3"/>
    <n v="2"/>
    <n v="0"/>
    <n v="3.2"/>
    <x v="11"/>
  </r>
  <r>
    <x v="0"/>
    <x v="3"/>
    <x v="15"/>
    <x v="0"/>
    <x v="2"/>
    <x v="1"/>
    <n v="7"/>
    <n v="6"/>
    <n v="0"/>
    <n v="2.7"/>
    <x v="0"/>
  </r>
  <r>
    <x v="11"/>
    <x v="3"/>
    <x v="3"/>
    <x v="0"/>
    <x v="0"/>
    <x v="0"/>
    <n v="4"/>
    <n v="4"/>
    <n v="0"/>
    <n v="3.4"/>
    <x v="11"/>
  </r>
  <r>
    <x v="9"/>
    <x v="5"/>
    <x v="6"/>
    <x v="5"/>
    <x v="0"/>
    <x v="0"/>
    <n v="9"/>
    <n v="8"/>
    <n v="1"/>
    <n v="3.6"/>
    <x v="9"/>
  </r>
  <r>
    <x v="6"/>
    <x v="5"/>
    <x v="5"/>
    <x v="5"/>
    <x v="1"/>
    <x v="0"/>
    <n v="3"/>
    <n v="3"/>
    <n v="0"/>
    <n v="3"/>
    <x v="6"/>
  </r>
  <r>
    <x v="8"/>
    <x v="5"/>
    <x v="5"/>
    <x v="2"/>
    <x v="2"/>
    <x v="0"/>
    <n v="5"/>
    <n v="5"/>
    <n v="0"/>
    <n v="3.7"/>
    <x v="8"/>
  </r>
  <r>
    <x v="5"/>
    <x v="9"/>
    <x v="14"/>
    <x v="2"/>
    <x v="0"/>
    <x v="0"/>
    <n v="4"/>
    <n v="4"/>
    <n v="0"/>
    <n v="2.2999999999999998"/>
    <x v="5"/>
  </r>
  <r>
    <x v="0"/>
    <x v="9"/>
    <x v="17"/>
    <x v="5"/>
    <x v="5"/>
    <x v="1"/>
    <n v="4"/>
    <n v="3"/>
    <n v="0"/>
    <n v="4"/>
    <x v="0"/>
  </r>
  <r>
    <x v="9"/>
    <x v="0"/>
    <x v="12"/>
    <x v="4"/>
    <x v="0"/>
    <x v="0"/>
    <n v="13"/>
    <n v="12"/>
    <n v="1"/>
    <n v="2.6"/>
    <x v="9"/>
  </r>
  <r>
    <x v="8"/>
    <x v="9"/>
    <x v="14"/>
    <x v="4"/>
    <x v="2"/>
    <x v="1"/>
    <n v="4"/>
    <n v="4"/>
    <n v="2"/>
    <n v="2.7"/>
    <x v="8"/>
  </r>
  <r>
    <x v="1"/>
    <x v="8"/>
    <x v="10"/>
    <x v="3"/>
    <x v="0"/>
    <x v="0"/>
    <n v="6"/>
    <n v="6"/>
    <n v="1"/>
    <n v="3"/>
    <x v="1"/>
  </r>
  <r>
    <x v="2"/>
    <x v="0"/>
    <x v="0"/>
    <x v="3"/>
    <x v="5"/>
    <x v="1"/>
    <n v="7"/>
    <n v="7"/>
    <n v="0"/>
    <n v="3.7"/>
    <x v="2"/>
  </r>
  <r>
    <x v="0"/>
    <x v="5"/>
    <x v="5"/>
    <x v="2"/>
    <x v="1"/>
    <x v="0"/>
    <n v="4"/>
    <n v="2"/>
    <n v="1"/>
    <n v="2.6"/>
    <x v="0"/>
  </r>
  <r>
    <x v="9"/>
    <x v="8"/>
    <x v="10"/>
    <x v="4"/>
    <x v="4"/>
    <x v="0"/>
    <n v="5"/>
    <n v="5"/>
    <n v="0"/>
    <n v="1.8"/>
    <x v="9"/>
  </r>
  <r>
    <x v="8"/>
    <x v="8"/>
    <x v="10"/>
    <x v="2"/>
    <x v="3"/>
    <x v="1"/>
    <n v="4"/>
    <n v="3"/>
    <n v="1"/>
    <n v="3.3"/>
    <x v="8"/>
  </r>
  <r>
    <x v="11"/>
    <x v="6"/>
    <x v="8"/>
    <x v="1"/>
    <x v="4"/>
    <x v="1"/>
    <n v="4"/>
    <n v="4"/>
    <n v="0"/>
    <n v="3.3"/>
    <x v="11"/>
  </r>
  <r>
    <x v="7"/>
    <x v="6"/>
    <x v="7"/>
    <x v="3"/>
    <x v="2"/>
    <x v="0"/>
    <n v="3"/>
    <n v="3"/>
    <n v="0"/>
    <n v="-0.5"/>
    <x v="7"/>
  </r>
  <r>
    <x v="9"/>
    <x v="3"/>
    <x v="15"/>
    <x v="0"/>
    <x v="2"/>
    <x v="1"/>
    <n v="10"/>
    <n v="9"/>
    <n v="1"/>
    <n v="2.1"/>
    <x v="9"/>
  </r>
  <r>
    <x v="11"/>
    <x v="4"/>
    <x v="4"/>
    <x v="4"/>
    <x v="1"/>
    <x v="0"/>
    <n v="7"/>
    <n v="6"/>
    <n v="0"/>
    <n v="4.2"/>
    <x v="11"/>
  </r>
  <r>
    <x v="5"/>
    <x v="7"/>
    <x v="9"/>
    <x v="5"/>
    <x v="0"/>
    <x v="1"/>
    <n v="4"/>
    <n v="4"/>
    <n v="0"/>
    <n v="2.2000000000000002"/>
    <x v="5"/>
  </r>
  <r>
    <x v="4"/>
    <x v="7"/>
    <x v="9"/>
    <x v="2"/>
    <x v="5"/>
    <x v="0"/>
    <n v="6"/>
    <n v="5"/>
    <n v="0"/>
    <n v="2.9"/>
    <x v="4"/>
  </r>
  <r>
    <x v="2"/>
    <x v="1"/>
    <x v="16"/>
    <x v="4"/>
    <x v="5"/>
    <x v="1"/>
    <n v="5"/>
    <n v="5"/>
    <n v="0"/>
    <n v="3.3"/>
    <x v="2"/>
  </r>
  <r>
    <x v="6"/>
    <x v="3"/>
    <x v="3"/>
    <x v="4"/>
    <x v="2"/>
    <x v="0"/>
    <n v="4"/>
    <n v="3"/>
    <n v="1"/>
    <n v="3.4"/>
    <x v="6"/>
  </r>
  <r>
    <x v="0"/>
    <x v="0"/>
    <x v="0"/>
    <x v="2"/>
    <x v="4"/>
    <x v="1"/>
    <n v="1"/>
    <n v="1"/>
    <n v="0"/>
    <n v="2.5"/>
    <x v="0"/>
  </r>
  <r>
    <x v="7"/>
    <x v="3"/>
    <x v="15"/>
    <x v="1"/>
    <x v="0"/>
    <x v="0"/>
    <n v="7"/>
    <n v="6"/>
    <n v="0"/>
    <n v="4.0999999999999996"/>
    <x v="7"/>
  </r>
  <r>
    <x v="2"/>
    <x v="5"/>
    <x v="5"/>
    <x v="0"/>
    <x v="4"/>
    <x v="1"/>
    <n v="5"/>
    <n v="4"/>
    <n v="0"/>
    <n v="4.3"/>
    <x v="2"/>
  </r>
  <r>
    <x v="11"/>
    <x v="4"/>
    <x v="11"/>
    <x v="0"/>
    <x v="3"/>
    <x v="1"/>
    <n v="5"/>
    <n v="5"/>
    <n v="0"/>
    <n v="4"/>
    <x v="11"/>
  </r>
  <r>
    <x v="10"/>
    <x v="4"/>
    <x v="4"/>
    <x v="3"/>
    <x v="3"/>
    <x v="1"/>
    <n v="9"/>
    <n v="9"/>
    <n v="1"/>
    <n v="2.7"/>
    <x v="10"/>
  </r>
  <r>
    <x v="9"/>
    <x v="5"/>
    <x v="5"/>
    <x v="2"/>
    <x v="1"/>
    <x v="1"/>
    <n v="4"/>
    <n v="3"/>
    <n v="0"/>
    <n v="3"/>
    <x v="9"/>
  </r>
  <r>
    <x v="9"/>
    <x v="2"/>
    <x v="2"/>
    <x v="2"/>
    <x v="5"/>
    <x v="1"/>
    <n v="4"/>
    <n v="4"/>
    <n v="0"/>
    <n v="1.6"/>
    <x v="9"/>
  </r>
  <r>
    <x v="2"/>
    <x v="3"/>
    <x v="3"/>
    <x v="5"/>
    <x v="5"/>
    <x v="0"/>
    <n v="4"/>
    <n v="3"/>
    <n v="1"/>
    <n v="2"/>
    <x v="2"/>
  </r>
  <r>
    <x v="4"/>
    <x v="3"/>
    <x v="15"/>
    <x v="4"/>
    <x v="3"/>
    <x v="1"/>
    <n v="6"/>
    <n v="6"/>
    <n v="0"/>
    <n v="3"/>
    <x v="4"/>
  </r>
  <r>
    <x v="7"/>
    <x v="3"/>
    <x v="15"/>
    <x v="2"/>
    <x v="0"/>
    <x v="1"/>
    <n v="3"/>
    <n v="3"/>
    <n v="0"/>
    <n v="3.2"/>
    <x v="7"/>
  </r>
  <r>
    <x v="9"/>
    <x v="3"/>
    <x v="15"/>
    <x v="1"/>
    <x v="1"/>
    <x v="0"/>
    <n v="4"/>
    <n v="4"/>
    <n v="0"/>
    <n v="1.9"/>
    <x v="9"/>
  </r>
  <r>
    <x v="11"/>
    <x v="5"/>
    <x v="6"/>
    <x v="0"/>
    <x v="0"/>
    <x v="0"/>
    <n v="2"/>
    <n v="2"/>
    <n v="0"/>
    <n v="3.4"/>
    <x v="11"/>
  </r>
  <r>
    <x v="8"/>
    <x v="8"/>
    <x v="18"/>
    <x v="5"/>
    <x v="5"/>
    <x v="1"/>
    <n v="7"/>
    <n v="6"/>
    <n v="0"/>
    <n v="3.7"/>
    <x v="8"/>
  </r>
  <r>
    <x v="5"/>
    <x v="2"/>
    <x v="19"/>
    <x v="1"/>
    <x v="1"/>
    <x v="1"/>
    <n v="2"/>
    <n v="2"/>
    <n v="0"/>
    <n v="2.7"/>
    <x v="5"/>
  </r>
  <r>
    <x v="2"/>
    <x v="7"/>
    <x v="9"/>
    <x v="1"/>
    <x v="4"/>
    <x v="1"/>
    <n v="7"/>
    <n v="7"/>
    <n v="3"/>
    <n v="3.4"/>
    <x v="2"/>
  </r>
  <r>
    <x v="3"/>
    <x v="2"/>
    <x v="2"/>
    <x v="4"/>
    <x v="0"/>
    <x v="0"/>
    <n v="4"/>
    <n v="4"/>
    <n v="0"/>
    <n v="4.0999999999999996"/>
    <x v="3"/>
  </r>
  <r>
    <x v="4"/>
    <x v="5"/>
    <x v="5"/>
    <x v="4"/>
    <x v="2"/>
    <x v="0"/>
    <n v="6"/>
    <n v="5"/>
    <n v="0"/>
    <n v="2.9"/>
    <x v="4"/>
  </r>
  <r>
    <x v="7"/>
    <x v="6"/>
    <x v="7"/>
    <x v="0"/>
    <x v="4"/>
    <x v="0"/>
    <n v="9"/>
    <n v="8"/>
    <n v="1"/>
    <n v="2.4"/>
    <x v="7"/>
  </r>
  <r>
    <x v="11"/>
    <x v="9"/>
    <x v="14"/>
    <x v="0"/>
    <x v="0"/>
    <x v="0"/>
    <n v="5"/>
    <n v="4"/>
    <n v="0"/>
    <n v="3.4"/>
    <x v="11"/>
  </r>
  <r>
    <x v="2"/>
    <x v="5"/>
    <x v="6"/>
    <x v="0"/>
    <x v="1"/>
    <x v="1"/>
    <n v="6"/>
    <n v="6"/>
    <n v="2"/>
    <n v="3.8"/>
    <x v="2"/>
  </r>
  <r>
    <x v="11"/>
    <x v="9"/>
    <x v="14"/>
    <x v="0"/>
    <x v="5"/>
    <x v="1"/>
    <n v="5"/>
    <n v="5"/>
    <n v="0"/>
    <n v="1.8"/>
    <x v="11"/>
  </r>
  <r>
    <x v="4"/>
    <x v="1"/>
    <x v="16"/>
    <x v="3"/>
    <x v="0"/>
    <x v="1"/>
    <n v="7"/>
    <n v="7"/>
    <n v="0"/>
    <n v="3.8"/>
    <x v="4"/>
  </r>
  <r>
    <x v="7"/>
    <x v="8"/>
    <x v="18"/>
    <x v="3"/>
    <x v="4"/>
    <x v="1"/>
    <n v="6"/>
    <n v="6"/>
    <n v="0"/>
    <n v="4.2"/>
    <x v="7"/>
  </r>
  <r>
    <x v="3"/>
    <x v="0"/>
    <x v="0"/>
    <x v="4"/>
    <x v="1"/>
    <x v="0"/>
    <n v="3"/>
    <n v="3"/>
    <n v="1"/>
    <n v="3.1"/>
    <x v="3"/>
  </r>
  <r>
    <x v="5"/>
    <x v="7"/>
    <x v="13"/>
    <x v="5"/>
    <x v="3"/>
    <x v="1"/>
    <n v="1"/>
    <n v="0"/>
    <n v="1"/>
    <n v="1"/>
    <x v="5"/>
  </r>
  <r>
    <x v="7"/>
    <x v="3"/>
    <x v="15"/>
    <x v="3"/>
    <x v="5"/>
    <x v="1"/>
    <n v="0"/>
    <n v="0"/>
    <n v="0"/>
    <n v="2.9"/>
    <x v="7"/>
  </r>
  <r>
    <x v="4"/>
    <x v="0"/>
    <x v="12"/>
    <x v="4"/>
    <x v="2"/>
    <x v="1"/>
    <n v="4"/>
    <n v="4"/>
    <n v="0"/>
    <n v="4.0999999999999996"/>
    <x v="4"/>
  </r>
  <r>
    <x v="0"/>
    <x v="7"/>
    <x v="9"/>
    <x v="5"/>
    <x v="4"/>
    <x v="1"/>
    <n v="5"/>
    <n v="4"/>
    <n v="0"/>
    <n v="3.9"/>
    <x v="0"/>
  </r>
  <r>
    <x v="3"/>
    <x v="3"/>
    <x v="3"/>
    <x v="5"/>
    <x v="3"/>
    <x v="1"/>
    <n v="6"/>
    <n v="4"/>
    <n v="0"/>
    <n v="3.5"/>
    <x v="3"/>
  </r>
  <r>
    <x v="2"/>
    <x v="6"/>
    <x v="8"/>
    <x v="1"/>
    <x v="1"/>
    <x v="1"/>
    <n v="5"/>
    <n v="4"/>
    <n v="3"/>
    <n v="4"/>
    <x v="2"/>
  </r>
  <r>
    <x v="10"/>
    <x v="7"/>
    <x v="9"/>
    <x v="5"/>
    <x v="3"/>
    <x v="0"/>
    <n v="10"/>
    <n v="8"/>
    <n v="0"/>
    <n v="2.7"/>
    <x v="10"/>
  </r>
  <r>
    <x v="2"/>
    <x v="4"/>
    <x v="4"/>
    <x v="5"/>
    <x v="3"/>
    <x v="1"/>
    <n v="1"/>
    <n v="1"/>
    <n v="0"/>
    <n v="4.5999999999999996"/>
    <x v="2"/>
  </r>
  <r>
    <x v="1"/>
    <x v="1"/>
    <x v="1"/>
    <x v="3"/>
    <x v="2"/>
    <x v="1"/>
    <n v="4"/>
    <n v="4"/>
    <n v="0"/>
    <n v="2.2000000000000002"/>
    <x v="1"/>
  </r>
  <r>
    <x v="3"/>
    <x v="9"/>
    <x v="14"/>
    <x v="2"/>
    <x v="0"/>
    <x v="1"/>
    <n v="7"/>
    <n v="7"/>
    <n v="0"/>
    <n v="4.4000000000000004"/>
    <x v="3"/>
  </r>
  <r>
    <x v="8"/>
    <x v="3"/>
    <x v="3"/>
    <x v="2"/>
    <x v="4"/>
    <x v="1"/>
    <n v="6"/>
    <n v="6"/>
    <n v="0"/>
    <n v="1.2"/>
    <x v="8"/>
  </r>
  <r>
    <x v="6"/>
    <x v="5"/>
    <x v="5"/>
    <x v="2"/>
    <x v="0"/>
    <x v="1"/>
    <n v="6"/>
    <n v="6"/>
    <n v="0"/>
    <n v="2.1"/>
    <x v="6"/>
  </r>
  <r>
    <x v="9"/>
    <x v="6"/>
    <x v="7"/>
    <x v="5"/>
    <x v="0"/>
    <x v="1"/>
    <n v="6"/>
    <n v="6"/>
    <n v="0"/>
    <n v="2"/>
    <x v="9"/>
  </r>
  <r>
    <x v="8"/>
    <x v="3"/>
    <x v="3"/>
    <x v="4"/>
    <x v="1"/>
    <x v="0"/>
    <n v="5"/>
    <n v="5"/>
    <n v="0"/>
    <n v="3"/>
    <x v="8"/>
  </r>
  <r>
    <x v="5"/>
    <x v="3"/>
    <x v="15"/>
    <x v="4"/>
    <x v="5"/>
    <x v="0"/>
    <n v="6"/>
    <n v="5"/>
    <n v="0"/>
    <n v="3.6"/>
    <x v="5"/>
  </r>
  <r>
    <x v="4"/>
    <x v="6"/>
    <x v="7"/>
    <x v="4"/>
    <x v="2"/>
    <x v="0"/>
    <n v="6"/>
    <n v="5"/>
    <n v="0"/>
    <n v="2.7"/>
    <x v="4"/>
  </r>
  <r>
    <x v="0"/>
    <x v="8"/>
    <x v="18"/>
    <x v="0"/>
    <x v="2"/>
    <x v="1"/>
    <n v="5"/>
    <n v="4"/>
    <n v="1"/>
    <n v="4.2"/>
    <x v="0"/>
  </r>
  <r>
    <x v="0"/>
    <x v="5"/>
    <x v="6"/>
    <x v="2"/>
    <x v="0"/>
    <x v="0"/>
    <n v="2"/>
    <n v="2"/>
    <n v="0"/>
    <n v="1.5"/>
    <x v="0"/>
  </r>
  <r>
    <x v="0"/>
    <x v="4"/>
    <x v="11"/>
    <x v="1"/>
    <x v="0"/>
    <x v="0"/>
    <n v="6"/>
    <n v="6"/>
    <n v="0"/>
    <n v="3.3"/>
    <x v="0"/>
  </r>
  <r>
    <x v="4"/>
    <x v="4"/>
    <x v="11"/>
    <x v="5"/>
    <x v="1"/>
    <x v="0"/>
    <n v="4"/>
    <n v="4"/>
    <n v="0"/>
    <n v="1.9"/>
    <x v="4"/>
  </r>
  <r>
    <x v="2"/>
    <x v="0"/>
    <x v="12"/>
    <x v="3"/>
    <x v="5"/>
    <x v="1"/>
    <n v="3"/>
    <n v="2"/>
    <n v="0"/>
    <n v="2.2999999999999998"/>
    <x v="2"/>
  </r>
  <r>
    <x v="4"/>
    <x v="6"/>
    <x v="8"/>
    <x v="4"/>
    <x v="4"/>
    <x v="0"/>
    <n v="9"/>
    <n v="8"/>
    <n v="0"/>
    <n v="3.1"/>
    <x v="4"/>
  </r>
  <r>
    <x v="4"/>
    <x v="6"/>
    <x v="7"/>
    <x v="1"/>
    <x v="1"/>
    <x v="1"/>
    <n v="5"/>
    <n v="5"/>
    <n v="0"/>
    <n v="2.2999999999999998"/>
    <x v="4"/>
  </r>
  <r>
    <x v="0"/>
    <x v="7"/>
    <x v="13"/>
    <x v="0"/>
    <x v="2"/>
    <x v="1"/>
    <n v="6"/>
    <n v="3"/>
    <n v="1"/>
    <n v="4.2"/>
    <x v="0"/>
  </r>
  <r>
    <x v="2"/>
    <x v="8"/>
    <x v="18"/>
    <x v="0"/>
    <x v="5"/>
    <x v="1"/>
    <n v="4"/>
    <n v="3"/>
    <n v="0"/>
    <n v="3.1"/>
    <x v="2"/>
  </r>
  <r>
    <x v="1"/>
    <x v="6"/>
    <x v="7"/>
    <x v="0"/>
    <x v="4"/>
    <x v="0"/>
    <n v="3"/>
    <n v="3"/>
    <n v="0"/>
    <n v="3.1"/>
    <x v="1"/>
  </r>
  <r>
    <x v="4"/>
    <x v="2"/>
    <x v="2"/>
    <x v="5"/>
    <x v="4"/>
    <x v="0"/>
    <n v="8"/>
    <n v="8"/>
    <n v="1"/>
    <n v="3.7"/>
    <x v="4"/>
  </r>
  <r>
    <x v="5"/>
    <x v="7"/>
    <x v="9"/>
    <x v="4"/>
    <x v="2"/>
    <x v="0"/>
    <n v="7"/>
    <n v="7"/>
    <n v="0"/>
    <n v="3.5"/>
    <x v="5"/>
  </r>
  <r>
    <x v="6"/>
    <x v="5"/>
    <x v="5"/>
    <x v="3"/>
    <x v="4"/>
    <x v="0"/>
    <n v="8"/>
    <n v="7"/>
    <n v="0"/>
    <n v="2.1"/>
    <x v="6"/>
  </r>
  <r>
    <x v="11"/>
    <x v="6"/>
    <x v="7"/>
    <x v="3"/>
    <x v="5"/>
    <x v="0"/>
    <n v="4"/>
    <n v="4"/>
    <n v="0"/>
    <n v="3.1"/>
    <x v="11"/>
  </r>
  <r>
    <x v="4"/>
    <x v="8"/>
    <x v="10"/>
    <x v="4"/>
    <x v="3"/>
    <x v="0"/>
    <n v="5"/>
    <n v="4"/>
    <n v="0"/>
    <n v="3.5"/>
    <x v="4"/>
  </r>
  <r>
    <x v="0"/>
    <x v="4"/>
    <x v="4"/>
    <x v="4"/>
    <x v="4"/>
    <x v="0"/>
    <n v="3"/>
    <n v="2"/>
    <n v="0"/>
    <n v="3.1"/>
    <x v="0"/>
  </r>
  <r>
    <x v="8"/>
    <x v="1"/>
    <x v="16"/>
    <x v="1"/>
    <x v="0"/>
    <x v="0"/>
    <n v="3"/>
    <n v="3"/>
    <n v="0"/>
    <n v="2.7"/>
    <x v="8"/>
  </r>
  <r>
    <x v="3"/>
    <x v="0"/>
    <x v="0"/>
    <x v="0"/>
    <x v="2"/>
    <x v="0"/>
    <n v="6"/>
    <n v="5"/>
    <n v="0"/>
    <n v="2"/>
    <x v="3"/>
  </r>
  <r>
    <x v="9"/>
    <x v="6"/>
    <x v="8"/>
    <x v="2"/>
    <x v="0"/>
    <x v="1"/>
    <n v="7"/>
    <n v="7"/>
    <n v="0"/>
    <n v="2.8"/>
    <x v="9"/>
  </r>
  <r>
    <x v="0"/>
    <x v="9"/>
    <x v="14"/>
    <x v="1"/>
    <x v="0"/>
    <x v="0"/>
    <n v="2"/>
    <n v="2"/>
    <n v="0"/>
    <n v="1.5"/>
    <x v="0"/>
  </r>
  <r>
    <x v="10"/>
    <x v="0"/>
    <x v="0"/>
    <x v="5"/>
    <x v="3"/>
    <x v="0"/>
    <n v="1"/>
    <n v="0"/>
    <n v="0"/>
    <n v="3.2"/>
    <x v="10"/>
  </r>
  <r>
    <x v="4"/>
    <x v="8"/>
    <x v="18"/>
    <x v="1"/>
    <x v="5"/>
    <x v="1"/>
    <n v="6"/>
    <n v="6"/>
    <n v="0"/>
    <n v="4.2"/>
    <x v="4"/>
  </r>
  <r>
    <x v="6"/>
    <x v="4"/>
    <x v="4"/>
    <x v="5"/>
    <x v="1"/>
    <x v="0"/>
    <n v="8"/>
    <n v="7"/>
    <n v="0"/>
    <n v="2.1"/>
    <x v="6"/>
  </r>
  <r>
    <x v="10"/>
    <x v="6"/>
    <x v="7"/>
    <x v="0"/>
    <x v="0"/>
    <x v="1"/>
    <n v="4"/>
    <n v="4"/>
    <n v="0"/>
    <n v="3.3"/>
    <x v="10"/>
  </r>
  <r>
    <x v="11"/>
    <x v="2"/>
    <x v="2"/>
    <x v="0"/>
    <x v="3"/>
    <x v="0"/>
    <n v="3"/>
    <n v="2"/>
    <n v="0"/>
    <n v="3.8"/>
    <x v="11"/>
  </r>
  <r>
    <x v="6"/>
    <x v="6"/>
    <x v="7"/>
    <x v="3"/>
    <x v="2"/>
    <x v="0"/>
    <n v="2"/>
    <n v="2"/>
    <n v="0"/>
    <n v="1.7"/>
    <x v="6"/>
  </r>
  <r>
    <x v="7"/>
    <x v="7"/>
    <x v="9"/>
    <x v="4"/>
    <x v="3"/>
    <x v="0"/>
    <n v="4"/>
    <n v="4"/>
    <n v="0"/>
    <n v="2"/>
    <x v="7"/>
  </r>
  <r>
    <x v="6"/>
    <x v="4"/>
    <x v="11"/>
    <x v="2"/>
    <x v="2"/>
    <x v="0"/>
    <n v="2"/>
    <n v="2"/>
    <n v="1"/>
    <n v="4"/>
    <x v="6"/>
  </r>
  <r>
    <x v="0"/>
    <x v="9"/>
    <x v="17"/>
    <x v="5"/>
    <x v="1"/>
    <x v="0"/>
    <n v="3"/>
    <n v="3"/>
    <n v="0"/>
    <n v="2.2000000000000002"/>
    <x v="0"/>
  </r>
  <r>
    <x v="2"/>
    <x v="2"/>
    <x v="19"/>
    <x v="0"/>
    <x v="1"/>
    <x v="1"/>
    <n v="5"/>
    <n v="3"/>
    <n v="0"/>
    <n v="4.5"/>
    <x v="2"/>
  </r>
  <r>
    <x v="6"/>
    <x v="6"/>
    <x v="7"/>
    <x v="4"/>
    <x v="0"/>
    <x v="0"/>
    <n v="5"/>
    <n v="5"/>
    <n v="0"/>
    <n v="3.5"/>
    <x v="6"/>
  </r>
  <r>
    <x v="8"/>
    <x v="7"/>
    <x v="13"/>
    <x v="3"/>
    <x v="4"/>
    <x v="0"/>
    <n v="5"/>
    <n v="4"/>
    <n v="0"/>
    <n v="3.9"/>
    <x v="8"/>
  </r>
  <r>
    <x v="11"/>
    <x v="6"/>
    <x v="7"/>
    <x v="4"/>
    <x v="5"/>
    <x v="0"/>
    <n v="10"/>
    <n v="9"/>
    <n v="2"/>
    <n v="2.4"/>
    <x v="11"/>
  </r>
  <r>
    <x v="3"/>
    <x v="8"/>
    <x v="10"/>
    <x v="4"/>
    <x v="2"/>
    <x v="1"/>
    <n v="2"/>
    <n v="2"/>
    <n v="0"/>
    <n v="2.5"/>
    <x v="3"/>
  </r>
  <r>
    <x v="2"/>
    <x v="5"/>
    <x v="5"/>
    <x v="5"/>
    <x v="5"/>
    <x v="0"/>
    <n v="8"/>
    <n v="6"/>
    <n v="0"/>
    <n v="3.6"/>
    <x v="2"/>
  </r>
  <r>
    <x v="11"/>
    <x v="9"/>
    <x v="14"/>
    <x v="4"/>
    <x v="1"/>
    <x v="1"/>
    <n v="3"/>
    <n v="3"/>
    <n v="0"/>
    <n v="4.3"/>
    <x v="11"/>
  </r>
  <r>
    <x v="2"/>
    <x v="6"/>
    <x v="8"/>
    <x v="4"/>
    <x v="0"/>
    <x v="1"/>
    <n v="5"/>
    <n v="4"/>
    <n v="0"/>
    <n v="2.6"/>
    <x v="2"/>
  </r>
  <r>
    <x v="7"/>
    <x v="6"/>
    <x v="7"/>
    <x v="2"/>
    <x v="3"/>
    <x v="1"/>
    <n v="0"/>
    <n v="0"/>
    <n v="0"/>
    <n v="2.2000000000000002"/>
    <x v="7"/>
  </r>
  <r>
    <x v="10"/>
    <x v="7"/>
    <x v="9"/>
    <x v="2"/>
    <x v="2"/>
    <x v="0"/>
    <n v="4"/>
    <n v="3"/>
    <n v="2"/>
    <n v="3.6"/>
    <x v="10"/>
  </r>
  <r>
    <x v="3"/>
    <x v="4"/>
    <x v="4"/>
    <x v="3"/>
    <x v="0"/>
    <x v="1"/>
    <n v="8"/>
    <n v="7"/>
    <n v="0"/>
    <n v="2.4"/>
    <x v="3"/>
  </r>
  <r>
    <x v="10"/>
    <x v="0"/>
    <x v="0"/>
    <x v="1"/>
    <x v="3"/>
    <x v="1"/>
    <n v="5"/>
    <n v="4"/>
    <n v="1"/>
    <n v="5.6"/>
    <x v="10"/>
  </r>
  <r>
    <x v="2"/>
    <x v="1"/>
    <x v="1"/>
    <x v="2"/>
    <x v="5"/>
    <x v="1"/>
    <n v="4"/>
    <n v="4"/>
    <n v="0"/>
    <n v="3.9"/>
    <x v="2"/>
  </r>
  <r>
    <x v="6"/>
    <x v="7"/>
    <x v="9"/>
    <x v="5"/>
    <x v="1"/>
    <x v="1"/>
    <n v="4"/>
    <n v="4"/>
    <n v="0"/>
    <n v="3.7"/>
    <x v="6"/>
  </r>
  <r>
    <x v="3"/>
    <x v="1"/>
    <x v="1"/>
    <x v="5"/>
    <x v="2"/>
    <x v="0"/>
    <n v="8"/>
    <n v="8"/>
    <n v="1"/>
    <n v="4.2"/>
    <x v="3"/>
  </r>
  <r>
    <x v="5"/>
    <x v="5"/>
    <x v="5"/>
    <x v="1"/>
    <x v="2"/>
    <x v="1"/>
    <n v="4"/>
    <n v="4"/>
    <n v="1"/>
    <n v="1.1000000000000001"/>
    <x v="5"/>
  </r>
  <r>
    <x v="9"/>
    <x v="0"/>
    <x v="0"/>
    <x v="5"/>
    <x v="2"/>
    <x v="0"/>
    <n v="5"/>
    <n v="4"/>
    <n v="1"/>
    <n v="3.5"/>
    <x v="9"/>
  </r>
  <r>
    <x v="9"/>
    <x v="1"/>
    <x v="16"/>
    <x v="0"/>
    <x v="5"/>
    <x v="1"/>
    <n v="3"/>
    <n v="3"/>
    <n v="0"/>
    <n v="2.5"/>
    <x v="9"/>
  </r>
  <r>
    <x v="4"/>
    <x v="2"/>
    <x v="19"/>
    <x v="0"/>
    <x v="1"/>
    <x v="1"/>
    <n v="5"/>
    <n v="4"/>
    <n v="0"/>
    <n v="2.9"/>
    <x v="4"/>
  </r>
  <r>
    <x v="11"/>
    <x v="6"/>
    <x v="7"/>
    <x v="2"/>
    <x v="0"/>
    <x v="0"/>
    <n v="4"/>
    <n v="3"/>
    <n v="0"/>
    <n v="2.8"/>
    <x v="11"/>
  </r>
  <r>
    <x v="0"/>
    <x v="7"/>
    <x v="13"/>
    <x v="0"/>
    <x v="1"/>
    <x v="1"/>
    <n v="3"/>
    <n v="3"/>
    <n v="1"/>
    <n v="3.1"/>
    <x v="0"/>
  </r>
  <r>
    <x v="7"/>
    <x v="5"/>
    <x v="5"/>
    <x v="3"/>
    <x v="2"/>
    <x v="1"/>
    <n v="3"/>
    <n v="3"/>
    <n v="1"/>
    <n v="1.9"/>
    <x v="7"/>
  </r>
  <r>
    <x v="11"/>
    <x v="8"/>
    <x v="18"/>
    <x v="2"/>
    <x v="3"/>
    <x v="0"/>
    <n v="4"/>
    <n v="3"/>
    <n v="1"/>
    <n v="3.8"/>
    <x v="11"/>
  </r>
  <r>
    <x v="11"/>
    <x v="1"/>
    <x v="16"/>
    <x v="4"/>
    <x v="4"/>
    <x v="0"/>
    <n v="6"/>
    <n v="6"/>
    <n v="0"/>
    <n v="1.7"/>
    <x v="11"/>
  </r>
  <r>
    <x v="2"/>
    <x v="3"/>
    <x v="3"/>
    <x v="1"/>
    <x v="3"/>
    <x v="1"/>
    <n v="5"/>
    <n v="4"/>
    <n v="0"/>
    <n v="3.4"/>
    <x v="2"/>
  </r>
  <r>
    <x v="4"/>
    <x v="7"/>
    <x v="13"/>
    <x v="4"/>
    <x v="4"/>
    <x v="0"/>
    <n v="3"/>
    <n v="2"/>
    <n v="0"/>
    <n v="4.8"/>
    <x v="4"/>
  </r>
  <r>
    <x v="11"/>
    <x v="2"/>
    <x v="2"/>
    <x v="0"/>
    <x v="1"/>
    <x v="0"/>
    <n v="5"/>
    <n v="5"/>
    <n v="1"/>
    <n v="2.4"/>
    <x v="11"/>
  </r>
  <r>
    <x v="1"/>
    <x v="7"/>
    <x v="9"/>
    <x v="3"/>
    <x v="2"/>
    <x v="0"/>
    <n v="4"/>
    <n v="3"/>
    <n v="0"/>
    <n v="2.9"/>
    <x v="1"/>
  </r>
  <r>
    <x v="9"/>
    <x v="3"/>
    <x v="3"/>
    <x v="4"/>
    <x v="4"/>
    <x v="0"/>
    <n v="8"/>
    <n v="8"/>
    <n v="0"/>
    <n v="3.1"/>
    <x v="9"/>
  </r>
  <r>
    <x v="1"/>
    <x v="8"/>
    <x v="10"/>
    <x v="1"/>
    <x v="4"/>
    <x v="0"/>
    <n v="7"/>
    <n v="6"/>
    <n v="0"/>
    <n v="3.9"/>
    <x v="1"/>
  </r>
  <r>
    <x v="2"/>
    <x v="9"/>
    <x v="14"/>
    <x v="5"/>
    <x v="2"/>
    <x v="1"/>
    <n v="8"/>
    <n v="7"/>
    <n v="0"/>
    <n v="2.7"/>
    <x v="2"/>
  </r>
  <r>
    <x v="1"/>
    <x v="6"/>
    <x v="7"/>
    <x v="0"/>
    <x v="1"/>
    <x v="0"/>
    <n v="5"/>
    <n v="5"/>
    <n v="1"/>
    <n v="2.6"/>
    <x v="1"/>
  </r>
  <r>
    <x v="9"/>
    <x v="8"/>
    <x v="10"/>
    <x v="2"/>
    <x v="4"/>
    <x v="1"/>
    <n v="9"/>
    <n v="9"/>
    <n v="0"/>
    <n v="4.2"/>
    <x v="9"/>
  </r>
  <r>
    <x v="2"/>
    <x v="4"/>
    <x v="11"/>
    <x v="5"/>
    <x v="4"/>
    <x v="0"/>
    <n v="5"/>
    <n v="4"/>
    <n v="0"/>
    <n v="5.6"/>
    <x v="2"/>
  </r>
  <r>
    <x v="8"/>
    <x v="9"/>
    <x v="14"/>
    <x v="0"/>
    <x v="1"/>
    <x v="0"/>
    <n v="7"/>
    <n v="7"/>
    <n v="0"/>
    <n v="3.8"/>
    <x v="8"/>
  </r>
  <r>
    <x v="9"/>
    <x v="5"/>
    <x v="5"/>
    <x v="4"/>
    <x v="5"/>
    <x v="0"/>
    <n v="2"/>
    <n v="2"/>
    <n v="0"/>
    <n v="3.5"/>
    <x v="9"/>
  </r>
  <r>
    <x v="5"/>
    <x v="6"/>
    <x v="7"/>
    <x v="0"/>
    <x v="3"/>
    <x v="0"/>
    <n v="8"/>
    <n v="7"/>
    <n v="0"/>
    <n v="2.5"/>
    <x v="5"/>
  </r>
  <r>
    <x v="9"/>
    <x v="5"/>
    <x v="5"/>
    <x v="4"/>
    <x v="2"/>
    <x v="0"/>
    <n v="5"/>
    <n v="4"/>
    <n v="0"/>
    <n v="3.2"/>
    <x v="9"/>
  </r>
  <r>
    <x v="7"/>
    <x v="3"/>
    <x v="15"/>
    <x v="4"/>
    <x v="2"/>
    <x v="1"/>
    <n v="2"/>
    <n v="2"/>
    <n v="0"/>
    <n v="3.7"/>
    <x v="7"/>
  </r>
  <r>
    <x v="5"/>
    <x v="3"/>
    <x v="3"/>
    <x v="2"/>
    <x v="2"/>
    <x v="0"/>
    <n v="5"/>
    <n v="5"/>
    <n v="0"/>
    <n v="3.7"/>
    <x v="5"/>
  </r>
  <r>
    <x v="0"/>
    <x v="7"/>
    <x v="13"/>
    <x v="4"/>
    <x v="4"/>
    <x v="0"/>
    <n v="6"/>
    <n v="5"/>
    <n v="1"/>
    <n v="3.7"/>
    <x v="0"/>
  </r>
  <r>
    <x v="2"/>
    <x v="8"/>
    <x v="18"/>
    <x v="1"/>
    <x v="2"/>
    <x v="0"/>
    <n v="4"/>
    <n v="2"/>
    <n v="0"/>
    <n v="2.6"/>
    <x v="2"/>
  </r>
  <r>
    <x v="6"/>
    <x v="7"/>
    <x v="13"/>
    <x v="4"/>
    <x v="5"/>
    <x v="0"/>
    <n v="5"/>
    <n v="5"/>
    <n v="0"/>
    <n v="1.1000000000000001"/>
    <x v="6"/>
  </r>
  <r>
    <x v="0"/>
    <x v="1"/>
    <x v="1"/>
    <x v="0"/>
    <x v="5"/>
    <x v="1"/>
    <n v="4"/>
    <n v="3"/>
    <n v="1"/>
    <n v="2.7"/>
    <x v="0"/>
  </r>
  <r>
    <x v="5"/>
    <x v="6"/>
    <x v="8"/>
    <x v="5"/>
    <x v="4"/>
    <x v="1"/>
    <n v="4"/>
    <n v="4"/>
    <n v="0"/>
    <n v="3.1"/>
    <x v="5"/>
  </r>
  <r>
    <x v="5"/>
    <x v="9"/>
    <x v="17"/>
    <x v="1"/>
    <x v="4"/>
    <x v="1"/>
    <n v="6"/>
    <n v="6"/>
    <n v="1"/>
    <n v="2.5"/>
    <x v="5"/>
  </r>
  <r>
    <x v="9"/>
    <x v="7"/>
    <x v="9"/>
    <x v="0"/>
    <x v="4"/>
    <x v="0"/>
    <n v="8"/>
    <n v="7"/>
    <n v="1"/>
    <n v="5.0999999999999996"/>
    <x v="9"/>
  </r>
  <r>
    <x v="8"/>
    <x v="3"/>
    <x v="15"/>
    <x v="5"/>
    <x v="5"/>
    <x v="0"/>
    <n v="5"/>
    <n v="5"/>
    <n v="0"/>
    <n v="1.9"/>
    <x v="8"/>
  </r>
  <r>
    <x v="1"/>
    <x v="2"/>
    <x v="19"/>
    <x v="2"/>
    <x v="3"/>
    <x v="0"/>
    <n v="6"/>
    <n v="6"/>
    <n v="0"/>
    <n v="2.4"/>
    <x v="1"/>
  </r>
  <r>
    <x v="1"/>
    <x v="5"/>
    <x v="6"/>
    <x v="2"/>
    <x v="5"/>
    <x v="0"/>
    <n v="4"/>
    <n v="4"/>
    <n v="0"/>
    <n v="3"/>
    <x v="1"/>
  </r>
  <r>
    <x v="1"/>
    <x v="0"/>
    <x v="0"/>
    <x v="1"/>
    <x v="3"/>
    <x v="1"/>
    <n v="3"/>
    <n v="3"/>
    <n v="0"/>
    <n v="4.0999999999999996"/>
    <x v="1"/>
  </r>
  <r>
    <x v="10"/>
    <x v="5"/>
    <x v="6"/>
    <x v="4"/>
    <x v="4"/>
    <x v="1"/>
    <n v="5"/>
    <n v="4"/>
    <n v="0"/>
    <n v="2.4"/>
    <x v="10"/>
  </r>
  <r>
    <x v="5"/>
    <x v="3"/>
    <x v="15"/>
    <x v="2"/>
    <x v="4"/>
    <x v="0"/>
    <n v="7"/>
    <n v="7"/>
    <n v="0"/>
    <n v="3.8"/>
    <x v="5"/>
  </r>
  <r>
    <x v="9"/>
    <x v="5"/>
    <x v="6"/>
    <x v="1"/>
    <x v="0"/>
    <x v="1"/>
    <n v="6"/>
    <n v="5"/>
    <n v="0"/>
    <n v="2.8"/>
    <x v="9"/>
  </r>
  <r>
    <x v="5"/>
    <x v="2"/>
    <x v="2"/>
    <x v="0"/>
    <x v="3"/>
    <x v="1"/>
    <n v="3"/>
    <n v="3"/>
    <n v="0"/>
    <n v="0.8"/>
    <x v="5"/>
  </r>
  <r>
    <x v="6"/>
    <x v="6"/>
    <x v="8"/>
    <x v="2"/>
    <x v="1"/>
    <x v="0"/>
    <n v="3"/>
    <n v="3"/>
    <n v="0"/>
    <n v="2.2999999999999998"/>
    <x v="6"/>
  </r>
  <r>
    <x v="6"/>
    <x v="9"/>
    <x v="17"/>
    <x v="2"/>
    <x v="3"/>
    <x v="1"/>
    <n v="5"/>
    <n v="4"/>
    <n v="1"/>
    <n v="4"/>
    <x v="6"/>
  </r>
  <r>
    <x v="9"/>
    <x v="5"/>
    <x v="6"/>
    <x v="3"/>
    <x v="2"/>
    <x v="1"/>
    <n v="3"/>
    <n v="3"/>
    <n v="0"/>
    <n v="3.3"/>
    <x v="9"/>
  </r>
  <r>
    <x v="7"/>
    <x v="4"/>
    <x v="11"/>
    <x v="4"/>
    <x v="4"/>
    <x v="1"/>
    <n v="1"/>
    <n v="1"/>
    <n v="0"/>
    <n v="2.5"/>
    <x v="7"/>
  </r>
  <r>
    <x v="8"/>
    <x v="5"/>
    <x v="6"/>
    <x v="3"/>
    <x v="0"/>
    <x v="1"/>
    <n v="6"/>
    <n v="6"/>
    <n v="0"/>
    <n v="3.1"/>
    <x v="8"/>
  </r>
  <r>
    <x v="10"/>
    <x v="5"/>
    <x v="6"/>
    <x v="2"/>
    <x v="2"/>
    <x v="0"/>
    <n v="8"/>
    <n v="8"/>
    <n v="0"/>
    <n v="4.3"/>
    <x v="10"/>
  </r>
  <r>
    <x v="1"/>
    <x v="9"/>
    <x v="17"/>
    <x v="2"/>
    <x v="3"/>
    <x v="0"/>
    <n v="5"/>
    <n v="4"/>
    <n v="0"/>
    <n v="1.3"/>
    <x v="1"/>
  </r>
  <r>
    <x v="11"/>
    <x v="5"/>
    <x v="6"/>
    <x v="0"/>
    <x v="2"/>
    <x v="0"/>
    <n v="1"/>
    <n v="1"/>
    <n v="0"/>
    <n v="2.4"/>
    <x v="11"/>
  </r>
  <r>
    <x v="4"/>
    <x v="6"/>
    <x v="7"/>
    <x v="4"/>
    <x v="2"/>
    <x v="1"/>
    <n v="5"/>
    <n v="3"/>
    <n v="0"/>
    <n v="2.8"/>
    <x v="4"/>
  </r>
  <r>
    <x v="3"/>
    <x v="6"/>
    <x v="8"/>
    <x v="3"/>
    <x v="4"/>
    <x v="1"/>
    <n v="3"/>
    <n v="3"/>
    <n v="1"/>
    <n v="2.6"/>
    <x v="3"/>
  </r>
  <r>
    <x v="6"/>
    <x v="6"/>
    <x v="8"/>
    <x v="5"/>
    <x v="1"/>
    <x v="0"/>
    <n v="2"/>
    <n v="2"/>
    <n v="0"/>
    <n v="2.9"/>
    <x v="6"/>
  </r>
  <r>
    <x v="10"/>
    <x v="7"/>
    <x v="13"/>
    <x v="2"/>
    <x v="4"/>
    <x v="0"/>
    <n v="5"/>
    <n v="4"/>
    <n v="0"/>
    <n v="1.5"/>
    <x v="10"/>
  </r>
  <r>
    <x v="9"/>
    <x v="2"/>
    <x v="2"/>
    <x v="2"/>
    <x v="1"/>
    <x v="1"/>
    <n v="5"/>
    <n v="4"/>
    <n v="0"/>
    <n v="1.5"/>
    <x v="9"/>
  </r>
  <r>
    <x v="3"/>
    <x v="2"/>
    <x v="2"/>
    <x v="4"/>
    <x v="0"/>
    <x v="1"/>
    <n v="3"/>
    <n v="3"/>
    <n v="0"/>
    <n v="3.1"/>
    <x v="3"/>
  </r>
  <r>
    <x v="5"/>
    <x v="1"/>
    <x v="16"/>
    <x v="0"/>
    <x v="3"/>
    <x v="0"/>
    <n v="5"/>
    <n v="5"/>
    <n v="2"/>
    <n v="3.5"/>
    <x v="5"/>
  </r>
  <r>
    <x v="1"/>
    <x v="5"/>
    <x v="5"/>
    <x v="4"/>
    <x v="5"/>
    <x v="1"/>
    <n v="6"/>
    <n v="6"/>
    <n v="0"/>
    <n v="3.3"/>
    <x v="1"/>
  </r>
  <r>
    <x v="0"/>
    <x v="9"/>
    <x v="14"/>
    <x v="0"/>
    <x v="2"/>
    <x v="0"/>
    <n v="4"/>
    <n v="3"/>
    <n v="0"/>
    <n v="3.5"/>
    <x v="0"/>
  </r>
  <r>
    <x v="11"/>
    <x v="7"/>
    <x v="13"/>
    <x v="0"/>
    <x v="2"/>
    <x v="1"/>
    <n v="8"/>
    <n v="8"/>
    <n v="0"/>
    <n v="2.4"/>
    <x v="11"/>
  </r>
  <r>
    <x v="0"/>
    <x v="4"/>
    <x v="11"/>
    <x v="4"/>
    <x v="5"/>
    <x v="0"/>
    <n v="10"/>
    <n v="10"/>
    <n v="1"/>
    <n v="4.4000000000000004"/>
    <x v="0"/>
  </r>
  <r>
    <x v="0"/>
    <x v="4"/>
    <x v="4"/>
    <x v="1"/>
    <x v="3"/>
    <x v="1"/>
    <n v="6"/>
    <n v="5"/>
    <n v="1"/>
    <n v="3"/>
    <x v="0"/>
  </r>
  <r>
    <x v="5"/>
    <x v="3"/>
    <x v="3"/>
    <x v="2"/>
    <x v="5"/>
    <x v="1"/>
    <n v="5"/>
    <n v="4"/>
    <n v="0"/>
    <n v="2.6"/>
    <x v="5"/>
  </r>
  <r>
    <x v="0"/>
    <x v="0"/>
    <x v="12"/>
    <x v="1"/>
    <x v="1"/>
    <x v="0"/>
    <n v="2"/>
    <n v="0"/>
    <n v="0"/>
    <n v="2.5"/>
    <x v="0"/>
  </r>
  <r>
    <x v="4"/>
    <x v="0"/>
    <x v="12"/>
    <x v="4"/>
    <x v="3"/>
    <x v="0"/>
    <n v="3"/>
    <n v="3"/>
    <n v="0"/>
    <n v="3.9"/>
    <x v="4"/>
  </r>
  <r>
    <x v="6"/>
    <x v="2"/>
    <x v="19"/>
    <x v="0"/>
    <x v="5"/>
    <x v="0"/>
    <n v="7"/>
    <n v="7"/>
    <n v="0"/>
    <n v="2.8"/>
    <x v="6"/>
  </r>
  <r>
    <x v="1"/>
    <x v="8"/>
    <x v="10"/>
    <x v="5"/>
    <x v="4"/>
    <x v="0"/>
    <n v="3"/>
    <n v="2"/>
    <n v="0"/>
    <n v="2.5"/>
    <x v="1"/>
  </r>
  <r>
    <x v="0"/>
    <x v="0"/>
    <x v="0"/>
    <x v="1"/>
    <x v="5"/>
    <x v="0"/>
    <n v="4"/>
    <n v="4"/>
    <n v="0"/>
    <n v="1.4"/>
    <x v="0"/>
  </r>
  <r>
    <x v="9"/>
    <x v="4"/>
    <x v="11"/>
    <x v="5"/>
    <x v="2"/>
    <x v="0"/>
    <n v="6"/>
    <n v="6"/>
    <n v="0"/>
    <n v="2.2000000000000002"/>
    <x v="9"/>
  </r>
  <r>
    <x v="0"/>
    <x v="3"/>
    <x v="15"/>
    <x v="2"/>
    <x v="4"/>
    <x v="1"/>
    <n v="7"/>
    <n v="7"/>
    <n v="0"/>
    <n v="2.4"/>
    <x v="0"/>
  </r>
  <r>
    <x v="4"/>
    <x v="6"/>
    <x v="8"/>
    <x v="5"/>
    <x v="0"/>
    <x v="0"/>
    <n v="7"/>
    <n v="6"/>
    <n v="0"/>
    <n v="3.2"/>
    <x v="4"/>
  </r>
  <r>
    <x v="7"/>
    <x v="7"/>
    <x v="9"/>
    <x v="2"/>
    <x v="1"/>
    <x v="0"/>
    <n v="4"/>
    <n v="3"/>
    <n v="0"/>
    <n v="3"/>
    <x v="7"/>
  </r>
  <r>
    <x v="1"/>
    <x v="8"/>
    <x v="18"/>
    <x v="0"/>
    <x v="2"/>
    <x v="0"/>
    <n v="3"/>
    <n v="2"/>
    <n v="0"/>
    <n v="3"/>
    <x v="1"/>
  </r>
  <r>
    <x v="3"/>
    <x v="5"/>
    <x v="5"/>
    <x v="0"/>
    <x v="5"/>
    <x v="1"/>
    <n v="3"/>
    <n v="3"/>
    <n v="0"/>
    <n v="2.5"/>
    <x v="3"/>
  </r>
  <r>
    <x v="9"/>
    <x v="5"/>
    <x v="5"/>
    <x v="1"/>
    <x v="2"/>
    <x v="1"/>
    <n v="7"/>
    <n v="6"/>
    <n v="0"/>
    <n v="3.9"/>
    <x v="9"/>
  </r>
  <r>
    <x v="10"/>
    <x v="2"/>
    <x v="2"/>
    <x v="1"/>
    <x v="1"/>
    <x v="0"/>
    <n v="2"/>
    <n v="2"/>
    <n v="0"/>
    <n v="3.2"/>
    <x v="10"/>
  </r>
  <r>
    <x v="11"/>
    <x v="2"/>
    <x v="19"/>
    <x v="4"/>
    <x v="5"/>
    <x v="1"/>
    <n v="7"/>
    <n v="7"/>
    <n v="2"/>
    <n v="3.1"/>
    <x v="11"/>
  </r>
  <r>
    <x v="6"/>
    <x v="1"/>
    <x v="1"/>
    <x v="2"/>
    <x v="3"/>
    <x v="0"/>
    <n v="5"/>
    <n v="5"/>
    <n v="0"/>
    <n v="4.2"/>
    <x v="6"/>
  </r>
  <r>
    <x v="1"/>
    <x v="8"/>
    <x v="18"/>
    <x v="0"/>
    <x v="0"/>
    <x v="1"/>
    <n v="7"/>
    <n v="7"/>
    <n v="0"/>
    <n v="2.7"/>
    <x v="1"/>
  </r>
  <r>
    <x v="1"/>
    <x v="6"/>
    <x v="8"/>
    <x v="2"/>
    <x v="0"/>
    <x v="1"/>
    <n v="6"/>
    <n v="4"/>
    <n v="0"/>
    <n v="2.5"/>
    <x v="1"/>
  </r>
  <r>
    <x v="0"/>
    <x v="8"/>
    <x v="10"/>
    <x v="4"/>
    <x v="2"/>
    <x v="1"/>
    <n v="4"/>
    <n v="4"/>
    <n v="0"/>
    <n v="2.8"/>
    <x v="0"/>
  </r>
  <r>
    <x v="8"/>
    <x v="9"/>
    <x v="17"/>
    <x v="1"/>
    <x v="1"/>
    <x v="0"/>
    <n v="1"/>
    <n v="1"/>
    <n v="0"/>
    <n v="3.8"/>
    <x v="8"/>
  </r>
  <r>
    <x v="8"/>
    <x v="5"/>
    <x v="5"/>
    <x v="4"/>
    <x v="2"/>
    <x v="0"/>
    <n v="1"/>
    <n v="1"/>
    <n v="1"/>
    <n v="0.6"/>
    <x v="8"/>
  </r>
  <r>
    <x v="8"/>
    <x v="7"/>
    <x v="13"/>
    <x v="5"/>
    <x v="0"/>
    <x v="1"/>
    <n v="7"/>
    <n v="7"/>
    <n v="1"/>
    <n v="2.8"/>
    <x v="8"/>
  </r>
  <r>
    <x v="4"/>
    <x v="2"/>
    <x v="2"/>
    <x v="0"/>
    <x v="5"/>
    <x v="0"/>
    <n v="1"/>
    <n v="1"/>
    <n v="0"/>
    <n v="3.2"/>
    <x v="4"/>
  </r>
  <r>
    <x v="4"/>
    <x v="1"/>
    <x v="1"/>
    <x v="0"/>
    <x v="1"/>
    <x v="1"/>
    <n v="3"/>
    <n v="3"/>
    <n v="0"/>
    <n v="3.7"/>
    <x v="4"/>
  </r>
  <r>
    <x v="9"/>
    <x v="7"/>
    <x v="9"/>
    <x v="5"/>
    <x v="2"/>
    <x v="1"/>
    <n v="3"/>
    <n v="3"/>
    <n v="0"/>
    <n v="3.7"/>
    <x v="9"/>
  </r>
  <r>
    <x v="7"/>
    <x v="5"/>
    <x v="6"/>
    <x v="1"/>
    <x v="3"/>
    <x v="1"/>
    <n v="8"/>
    <n v="5"/>
    <n v="0"/>
    <n v="1.7"/>
    <x v="7"/>
  </r>
  <r>
    <x v="11"/>
    <x v="2"/>
    <x v="19"/>
    <x v="0"/>
    <x v="0"/>
    <x v="0"/>
    <n v="5"/>
    <n v="4"/>
    <n v="0"/>
    <n v="2.4"/>
    <x v="11"/>
  </r>
  <r>
    <x v="7"/>
    <x v="8"/>
    <x v="10"/>
    <x v="5"/>
    <x v="1"/>
    <x v="1"/>
    <n v="5"/>
    <n v="5"/>
    <n v="1"/>
    <n v="2.7"/>
    <x v="7"/>
  </r>
  <r>
    <x v="6"/>
    <x v="8"/>
    <x v="18"/>
    <x v="5"/>
    <x v="0"/>
    <x v="0"/>
    <n v="1"/>
    <n v="1"/>
    <n v="0"/>
    <n v="3.2"/>
    <x v="6"/>
  </r>
  <r>
    <x v="0"/>
    <x v="7"/>
    <x v="13"/>
    <x v="5"/>
    <x v="3"/>
    <x v="0"/>
    <n v="5"/>
    <n v="5"/>
    <n v="0"/>
    <n v="2.8"/>
    <x v="0"/>
  </r>
  <r>
    <x v="9"/>
    <x v="5"/>
    <x v="6"/>
    <x v="4"/>
    <x v="2"/>
    <x v="0"/>
    <n v="3"/>
    <n v="3"/>
    <n v="0"/>
    <n v="4.4000000000000004"/>
    <x v="9"/>
  </r>
  <r>
    <x v="2"/>
    <x v="1"/>
    <x v="16"/>
    <x v="1"/>
    <x v="2"/>
    <x v="0"/>
    <n v="6"/>
    <n v="6"/>
    <n v="1"/>
    <n v="3"/>
    <x v="2"/>
  </r>
  <r>
    <x v="8"/>
    <x v="1"/>
    <x v="1"/>
    <x v="1"/>
    <x v="4"/>
    <x v="0"/>
    <n v="3"/>
    <n v="3"/>
    <n v="1"/>
    <n v="3.3"/>
    <x v="8"/>
  </r>
  <r>
    <x v="1"/>
    <x v="0"/>
    <x v="0"/>
    <x v="1"/>
    <x v="1"/>
    <x v="1"/>
    <n v="9"/>
    <n v="8"/>
    <n v="0"/>
    <n v="4.4000000000000004"/>
    <x v="1"/>
  </r>
  <r>
    <x v="7"/>
    <x v="8"/>
    <x v="10"/>
    <x v="3"/>
    <x v="1"/>
    <x v="1"/>
    <n v="4"/>
    <n v="4"/>
    <n v="0"/>
    <n v="4.2"/>
    <x v="7"/>
  </r>
  <r>
    <x v="3"/>
    <x v="3"/>
    <x v="15"/>
    <x v="3"/>
    <x v="1"/>
    <x v="0"/>
    <n v="6"/>
    <n v="6"/>
    <n v="0"/>
    <n v="3"/>
    <x v="3"/>
  </r>
  <r>
    <x v="10"/>
    <x v="4"/>
    <x v="4"/>
    <x v="0"/>
    <x v="0"/>
    <x v="1"/>
    <n v="6"/>
    <n v="5"/>
    <n v="0"/>
    <n v="2.5"/>
    <x v="10"/>
  </r>
  <r>
    <x v="10"/>
    <x v="4"/>
    <x v="4"/>
    <x v="2"/>
    <x v="4"/>
    <x v="0"/>
    <n v="8"/>
    <n v="8"/>
    <n v="0"/>
    <n v="2.2999999999999998"/>
    <x v="10"/>
  </r>
  <r>
    <x v="2"/>
    <x v="0"/>
    <x v="12"/>
    <x v="0"/>
    <x v="1"/>
    <x v="0"/>
    <n v="4"/>
    <n v="4"/>
    <n v="0"/>
    <n v="2.4"/>
    <x v="2"/>
  </r>
  <r>
    <x v="5"/>
    <x v="8"/>
    <x v="10"/>
    <x v="4"/>
    <x v="3"/>
    <x v="0"/>
    <n v="8"/>
    <n v="8"/>
    <n v="1"/>
    <n v="4.4000000000000004"/>
    <x v="5"/>
  </r>
  <r>
    <x v="9"/>
    <x v="4"/>
    <x v="11"/>
    <x v="3"/>
    <x v="1"/>
    <x v="0"/>
    <n v="4"/>
    <n v="4"/>
    <n v="1"/>
    <n v="2.6"/>
    <x v="9"/>
  </r>
  <r>
    <x v="8"/>
    <x v="9"/>
    <x v="17"/>
    <x v="0"/>
    <x v="4"/>
    <x v="0"/>
    <n v="2"/>
    <n v="1"/>
    <n v="0"/>
    <n v="4.3"/>
    <x v="8"/>
  </r>
  <r>
    <x v="1"/>
    <x v="3"/>
    <x v="15"/>
    <x v="0"/>
    <x v="5"/>
    <x v="0"/>
    <n v="8"/>
    <n v="8"/>
    <n v="0"/>
    <n v="2.6"/>
    <x v="1"/>
  </r>
  <r>
    <x v="2"/>
    <x v="2"/>
    <x v="2"/>
    <x v="5"/>
    <x v="5"/>
    <x v="0"/>
    <n v="2"/>
    <n v="2"/>
    <n v="0"/>
    <n v="2.2999999999999998"/>
    <x v="2"/>
  </r>
  <r>
    <x v="11"/>
    <x v="3"/>
    <x v="15"/>
    <x v="1"/>
    <x v="5"/>
    <x v="1"/>
    <n v="2"/>
    <n v="2"/>
    <n v="1"/>
    <n v="2"/>
    <x v="11"/>
  </r>
  <r>
    <x v="1"/>
    <x v="9"/>
    <x v="14"/>
    <x v="2"/>
    <x v="0"/>
    <x v="0"/>
    <n v="6"/>
    <n v="5"/>
    <n v="1"/>
    <n v="2.5"/>
    <x v="1"/>
  </r>
  <r>
    <x v="0"/>
    <x v="5"/>
    <x v="6"/>
    <x v="4"/>
    <x v="3"/>
    <x v="0"/>
    <n v="7"/>
    <n v="6"/>
    <n v="1"/>
    <n v="1.9"/>
    <x v="0"/>
  </r>
  <r>
    <x v="6"/>
    <x v="0"/>
    <x v="0"/>
    <x v="1"/>
    <x v="1"/>
    <x v="0"/>
    <n v="4"/>
    <n v="4"/>
    <n v="0"/>
    <n v="4.0999999999999996"/>
    <x v="6"/>
  </r>
  <r>
    <x v="4"/>
    <x v="9"/>
    <x v="14"/>
    <x v="4"/>
    <x v="2"/>
    <x v="0"/>
    <n v="6"/>
    <n v="5"/>
    <n v="0"/>
    <n v="2"/>
    <x v="4"/>
  </r>
  <r>
    <x v="9"/>
    <x v="2"/>
    <x v="2"/>
    <x v="3"/>
    <x v="3"/>
    <x v="1"/>
    <n v="8"/>
    <n v="8"/>
    <n v="2"/>
    <n v="3.4"/>
    <x v="9"/>
  </r>
  <r>
    <x v="10"/>
    <x v="2"/>
    <x v="19"/>
    <x v="5"/>
    <x v="5"/>
    <x v="1"/>
    <n v="8"/>
    <n v="8"/>
    <n v="1"/>
    <n v="3.8"/>
    <x v="10"/>
  </r>
  <r>
    <x v="11"/>
    <x v="7"/>
    <x v="9"/>
    <x v="2"/>
    <x v="1"/>
    <x v="0"/>
    <n v="3"/>
    <n v="3"/>
    <n v="0"/>
    <n v="3.2"/>
    <x v="11"/>
  </r>
  <r>
    <x v="8"/>
    <x v="7"/>
    <x v="9"/>
    <x v="2"/>
    <x v="5"/>
    <x v="0"/>
    <n v="5"/>
    <n v="4"/>
    <n v="0"/>
    <n v="4.3"/>
    <x v="8"/>
  </r>
  <r>
    <x v="10"/>
    <x v="2"/>
    <x v="2"/>
    <x v="5"/>
    <x v="5"/>
    <x v="0"/>
    <n v="4"/>
    <n v="4"/>
    <n v="1"/>
    <n v="4.0999999999999996"/>
    <x v="10"/>
  </r>
  <r>
    <x v="0"/>
    <x v="1"/>
    <x v="1"/>
    <x v="5"/>
    <x v="5"/>
    <x v="0"/>
    <n v="5"/>
    <n v="4"/>
    <n v="0"/>
    <n v="3.6"/>
    <x v="0"/>
  </r>
  <r>
    <x v="3"/>
    <x v="8"/>
    <x v="18"/>
    <x v="1"/>
    <x v="1"/>
    <x v="0"/>
    <n v="5"/>
    <n v="4"/>
    <n v="0"/>
    <n v="2.5"/>
    <x v="3"/>
  </r>
  <r>
    <x v="7"/>
    <x v="4"/>
    <x v="4"/>
    <x v="0"/>
    <x v="3"/>
    <x v="1"/>
    <n v="3"/>
    <n v="2"/>
    <n v="0"/>
    <n v="1.3"/>
    <x v="7"/>
  </r>
  <r>
    <x v="10"/>
    <x v="8"/>
    <x v="10"/>
    <x v="1"/>
    <x v="3"/>
    <x v="0"/>
    <n v="5"/>
    <n v="5"/>
    <n v="0"/>
    <n v="3.3"/>
    <x v="10"/>
  </r>
  <r>
    <x v="10"/>
    <x v="9"/>
    <x v="17"/>
    <x v="0"/>
    <x v="5"/>
    <x v="1"/>
    <n v="2"/>
    <n v="1"/>
    <n v="0"/>
    <n v="3"/>
    <x v="10"/>
  </r>
  <r>
    <x v="2"/>
    <x v="1"/>
    <x v="16"/>
    <x v="1"/>
    <x v="3"/>
    <x v="0"/>
    <n v="6"/>
    <n v="6"/>
    <n v="0"/>
    <n v="2.1"/>
    <x v="2"/>
  </r>
  <r>
    <x v="1"/>
    <x v="7"/>
    <x v="9"/>
    <x v="4"/>
    <x v="2"/>
    <x v="0"/>
    <n v="4"/>
    <n v="2"/>
    <n v="0"/>
    <n v="2"/>
    <x v="1"/>
  </r>
  <r>
    <x v="6"/>
    <x v="7"/>
    <x v="13"/>
    <x v="3"/>
    <x v="1"/>
    <x v="0"/>
    <n v="4"/>
    <n v="4"/>
    <n v="1"/>
    <n v="3.8"/>
    <x v="6"/>
  </r>
  <r>
    <x v="1"/>
    <x v="6"/>
    <x v="8"/>
    <x v="2"/>
    <x v="0"/>
    <x v="1"/>
    <n v="7"/>
    <n v="7"/>
    <n v="1"/>
    <n v="1.9"/>
    <x v="1"/>
  </r>
  <r>
    <x v="7"/>
    <x v="9"/>
    <x v="17"/>
    <x v="1"/>
    <x v="2"/>
    <x v="1"/>
    <n v="7"/>
    <n v="6"/>
    <n v="0"/>
    <n v="3.6"/>
    <x v="7"/>
  </r>
  <r>
    <x v="0"/>
    <x v="4"/>
    <x v="11"/>
    <x v="4"/>
    <x v="5"/>
    <x v="1"/>
    <n v="5"/>
    <n v="5"/>
    <n v="0"/>
    <n v="2.9"/>
    <x v="0"/>
  </r>
  <r>
    <x v="9"/>
    <x v="2"/>
    <x v="2"/>
    <x v="4"/>
    <x v="2"/>
    <x v="0"/>
    <n v="5"/>
    <n v="4"/>
    <n v="0"/>
    <n v="4.7"/>
    <x v="9"/>
  </r>
  <r>
    <x v="10"/>
    <x v="1"/>
    <x v="1"/>
    <x v="0"/>
    <x v="5"/>
    <x v="0"/>
    <n v="4"/>
    <n v="3"/>
    <n v="0"/>
    <n v="4.4000000000000004"/>
    <x v="10"/>
  </r>
  <r>
    <x v="4"/>
    <x v="2"/>
    <x v="19"/>
    <x v="0"/>
    <x v="3"/>
    <x v="0"/>
    <n v="1"/>
    <n v="1"/>
    <n v="0"/>
    <n v="4.7"/>
    <x v="4"/>
  </r>
  <r>
    <x v="8"/>
    <x v="6"/>
    <x v="7"/>
    <x v="0"/>
    <x v="5"/>
    <x v="1"/>
    <n v="9"/>
    <n v="8"/>
    <n v="1"/>
    <n v="2.7"/>
    <x v="8"/>
  </r>
  <r>
    <x v="7"/>
    <x v="0"/>
    <x v="0"/>
    <x v="4"/>
    <x v="5"/>
    <x v="1"/>
    <n v="5"/>
    <n v="5"/>
    <n v="0"/>
    <n v="3.8"/>
    <x v="7"/>
  </r>
  <r>
    <x v="4"/>
    <x v="7"/>
    <x v="9"/>
    <x v="2"/>
    <x v="3"/>
    <x v="1"/>
    <n v="7"/>
    <n v="6"/>
    <n v="1"/>
    <n v="2.7"/>
    <x v="4"/>
  </r>
  <r>
    <x v="6"/>
    <x v="2"/>
    <x v="2"/>
    <x v="1"/>
    <x v="4"/>
    <x v="1"/>
    <n v="4"/>
    <n v="4"/>
    <n v="0"/>
    <n v="3"/>
    <x v="6"/>
  </r>
  <r>
    <x v="4"/>
    <x v="2"/>
    <x v="2"/>
    <x v="0"/>
    <x v="2"/>
    <x v="0"/>
    <n v="5"/>
    <n v="5"/>
    <n v="0"/>
    <n v="2.2999999999999998"/>
    <x v="4"/>
  </r>
  <r>
    <x v="0"/>
    <x v="4"/>
    <x v="11"/>
    <x v="4"/>
    <x v="5"/>
    <x v="0"/>
    <n v="4"/>
    <n v="3"/>
    <n v="0"/>
    <n v="2"/>
    <x v="0"/>
  </r>
  <r>
    <x v="7"/>
    <x v="0"/>
    <x v="0"/>
    <x v="4"/>
    <x v="3"/>
    <x v="0"/>
    <n v="6"/>
    <n v="6"/>
    <n v="1"/>
    <n v="1.9"/>
    <x v="7"/>
  </r>
  <r>
    <x v="1"/>
    <x v="6"/>
    <x v="7"/>
    <x v="5"/>
    <x v="5"/>
    <x v="1"/>
    <n v="6"/>
    <n v="6"/>
    <n v="0"/>
    <n v="1.6"/>
    <x v="1"/>
  </r>
  <r>
    <x v="8"/>
    <x v="7"/>
    <x v="9"/>
    <x v="5"/>
    <x v="2"/>
    <x v="0"/>
    <n v="9"/>
    <n v="8"/>
    <n v="0"/>
    <n v="3"/>
    <x v="8"/>
  </r>
  <r>
    <x v="0"/>
    <x v="5"/>
    <x v="5"/>
    <x v="3"/>
    <x v="2"/>
    <x v="0"/>
    <n v="2"/>
    <n v="2"/>
    <n v="0"/>
    <n v="1.8"/>
    <x v="0"/>
  </r>
  <r>
    <x v="9"/>
    <x v="0"/>
    <x v="12"/>
    <x v="2"/>
    <x v="4"/>
    <x v="1"/>
    <n v="1"/>
    <n v="1"/>
    <n v="0"/>
    <n v="3.1"/>
    <x v="9"/>
  </r>
  <r>
    <x v="7"/>
    <x v="9"/>
    <x v="14"/>
    <x v="5"/>
    <x v="2"/>
    <x v="0"/>
    <n v="3"/>
    <n v="3"/>
    <n v="0"/>
    <n v="1.6"/>
    <x v="7"/>
  </r>
  <r>
    <x v="9"/>
    <x v="5"/>
    <x v="6"/>
    <x v="4"/>
    <x v="2"/>
    <x v="0"/>
    <n v="7"/>
    <n v="6"/>
    <n v="0"/>
    <n v="2.4"/>
    <x v="9"/>
  </r>
  <r>
    <x v="9"/>
    <x v="7"/>
    <x v="13"/>
    <x v="5"/>
    <x v="0"/>
    <x v="0"/>
    <n v="6"/>
    <n v="6"/>
    <n v="0"/>
    <n v="3.4"/>
    <x v="9"/>
  </r>
  <r>
    <x v="4"/>
    <x v="9"/>
    <x v="17"/>
    <x v="2"/>
    <x v="1"/>
    <x v="0"/>
    <n v="5"/>
    <n v="5"/>
    <n v="1"/>
    <n v="2.2000000000000002"/>
    <x v="4"/>
  </r>
  <r>
    <x v="1"/>
    <x v="8"/>
    <x v="10"/>
    <x v="4"/>
    <x v="5"/>
    <x v="1"/>
    <n v="5"/>
    <n v="5"/>
    <n v="0"/>
    <n v="4.2"/>
    <x v="1"/>
  </r>
  <r>
    <x v="5"/>
    <x v="9"/>
    <x v="17"/>
    <x v="0"/>
    <x v="4"/>
    <x v="0"/>
    <n v="7"/>
    <n v="5"/>
    <n v="0"/>
    <n v="3.1"/>
    <x v="5"/>
  </r>
  <r>
    <x v="10"/>
    <x v="3"/>
    <x v="15"/>
    <x v="0"/>
    <x v="0"/>
    <x v="1"/>
    <n v="4"/>
    <n v="4"/>
    <n v="1"/>
    <n v="3.8"/>
    <x v="10"/>
  </r>
  <r>
    <x v="7"/>
    <x v="9"/>
    <x v="17"/>
    <x v="5"/>
    <x v="2"/>
    <x v="1"/>
    <n v="3"/>
    <n v="3"/>
    <n v="0"/>
    <n v="0.8"/>
    <x v="7"/>
  </r>
  <r>
    <x v="5"/>
    <x v="3"/>
    <x v="15"/>
    <x v="1"/>
    <x v="0"/>
    <x v="1"/>
    <n v="5"/>
    <n v="5"/>
    <n v="0"/>
    <n v="2.4"/>
    <x v="5"/>
  </r>
  <r>
    <x v="11"/>
    <x v="7"/>
    <x v="13"/>
    <x v="0"/>
    <x v="1"/>
    <x v="0"/>
    <n v="3"/>
    <n v="3"/>
    <n v="0"/>
    <n v="0.8"/>
    <x v="11"/>
  </r>
  <r>
    <x v="6"/>
    <x v="5"/>
    <x v="5"/>
    <x v="4"/>
    <x v="5"/>
    <x v="1"/>
    <n v="1"/>
    <n v="1"/>
    <n v="0"/>
    <n v="2.2999999999999998"/>
    <x v="6"/>
  </r>
  <r>
    <x v="5"/>
    <x v="0"/>
    <x v="12"/>
    <x v="2"/>
    <x v="2"/>
    <x v="1"/>
    <n v="8"/>
    <n v="7"/>
    <n v="0"/>
    <n v="3.1"/>
    <x v="5"/>
  </r>
  <r>
    <x v="8"/>
    <x v="9"/>
    <x v="17"/>
    <x v="3"/>
    <x v="0"/>
    <x v="1"/>
    <n v="10"/>
    <n v="9"/>
    <n v="1"/>
    <n v="2.2000000000000002"/>
    <x v="8"/>
  </r>
  <r>
    <x v="4"/>
    <x v="5"/>
    <x v="5"/>
    <x v="4"/>
    <x v="2"/>
    <x v="1"/>
    <n v="4"/>
    <n v="4"/>
    <n v="0"/>
    <n v="2.2999999999999998"/>
    <x v="4"/>
  </r>
  <r>
    <x v="6"/>
    <x v="1"/>
    <x v="16"/>
    <x v="1"/>
    <x v="0"/>
    <x v="0"/>
    <n v="6"/>
    <n v="5"/>
    <n v="0"/>
    <n v="3.2"/>
    <x v="6"/>
  </r>
  <r>
    <x v="0"/>
    <x v="8"/>
    <x v="10"/>
    <x v="1"/>
    <x v="1"/>
    <x v="0"/>
    <n v="4"/>
    <n v="4"/>
    <n v="0"/>
    <n v="3.6"/>
    <x v="0"/>
  </r>
  <r>
    <x v="4"/>
    <x v="2"/>
    <x v="19"/>
    <x v="4"/>
    <x v="1"/>
    <x v="1"/>
    <n v="5"/>
    <n v="4"/>
    <n v="0"/>
    <n v="2.5"/>
    <x v="4"/>
  </r>
  <r>
    <x v="2"/>
    <x v="8"/>
    <x v="18"/>
    <x v="4"/>
    <x v="0"/>
    <x v="0"/>
    <n v="3"/>
    <n v="3"/>
    <n v="0"/>
    <n v="2.9"/>
    <x v="2"/>
  </r>
  <r>
    <x v="9"/>
    <x v="7"/>
    <x v="9"/>
    <x v="5"/>
    <x v="5"/>
    <x v="1"/>
    <n v="10"/>
    <n v="10"/>
    <n v="0"/>
    <n v="3.8"/>
    <x v="9"/>
  </r>
  <r>
    <x v="11"/>
    <x v="4"/>
    <x v="11"/>
    <x v="3"/>
    <x v="4"/>
    <x v="0"/>
    <n v="4"/>
    <n v="4"/>
    <n v="0"/>
    <n v="3.6"/>
    <x v="11"/>
  </r>
  <r>
    <x v="0"/>
    <x v="1"/>
    <x v="1"/>
    <x v="3"/>
    <x v="0"/>
    <x v="1"/>
    <n v="6"/>
    <n v="5"/>
    <n v="0"/>
    <n v="3.4"/>
    <x v="0"/>
  </r>
  <r>
    <x v="2"/>
    <x v="3"/>
    <x v="3"/>
    <x v="0"/>
    <x v="4"/>
    <x v="0"/>
    <n v="10"/>
    <n v="9"/>
    <n v="2"/>
    <n v="4.0999999999999996"/>
    <x v="2"/>
  </r>
  <r>
    <x v="10"/>
    <x v="2"/>
    <x v="19"/>
    <x v="5"/>
    <x v="3"/>
    <x v="0"/>
    <n v="10"/>
    <n v="9"/>
    <n v="1"/>
    <n v="1.9"/>
    <x v="10"/>
  </r>
  <r>
    <x v="1"/>
    <x v="4"/>
    <x v="4"/>
    <x v="5"/>
    <x v="1"/>
    <x v="1"/>
    <n v="7"/>
    <n v="6"/>
    <n v="0"/>
    <n v="4.5"/>
    <x v="1"/>
  </r>
  <r>
    <x v="5"/>
    <x v="5"/>
    <x v="5"/>
    <x v="5"/>
    <x v="2"/>
    <x v="1"/>
    <n v="5"/>
    <n v="5"/>
    <n v="1"/>
    <n v="4.5999999999999996"/>
    <x v="5"/>
  </r>
  <r>
    <x v="10"/>
    <x v="0"/>
    <x v="12"/>
    <x v="1"/>
    <x v="4"/>
    <x v="1"/>
    <n v="7"/>
    <n v="7"/>
    <n v="1"/>
    <n v="3.9"/>
    <x v="10"/>
  </r>
  <r>
    <x v="2"/>
    <x v="0"/>
    <x v="12"/>
    <x v="5"/>
    <x v="5"/>
    <x v="0"/>
    <n v="3"/>
    <n v="3"/>
    <n v="0"/>
    <n v="3.2"/>
    <x v="2"/>
  </r>
  <r>
    <x v="1"/>
    <x v="8"/>
    <x v="18"/>
    <x v="2"/>
    <x v="1"/>
    <x v="0"/>
    <n v="8"/>
    <n v="7"/>
    <n v="3"/>
    <n v="2.2000000000000002"/>
    <x v="1"/>
  </r>
  <r>
    <x v="2"/>
    <x v="4"/>
    <x v="4"/>
    <x v="3"/>
    <x v="1"/>
    <x v="0"/>
    <n v="5"/>
    <n v="5"/>
    <n v="0"/>
    <n v="3.3"/>
    <x v="2"/>
  </r>
  <r>
    <x v="10"/>
    <x v="1"/>
    <x v="1"/>
    <x v="0"/>
    <x v="1"/>
    <x v="0"/>
    <n v="3"/>
    <n v="3"/>
    <n v="0"/>
    <n v="3.3"/>
    <x v="10"/>
  </r>
  <r>
    <x v="0"/>
    <x v="0"/>
    <x v="12"/>
    <x v="3"/>
    <x v="5"/>
    <x v="0"/>
    <n v="3"/>
    <n v="3"/>
    <n v="1"/>
    <n v="1.3"/>
    <x v="0"/>
  </r>
  <r>
    <x v="5"/>
    <x v="8"/>
    <x v="10"/>
    <x v="4"/>
    <x v="1"/>
    <x v="1"/>
    <n v="4"/>
    <n v="4"/>
    <n v="0"/>
    <n v="2.5"/>
    <x v="5"/>
  </r>
  <r>
    <x v="5"/>
    <x v="8"/>
    <x v="18"/>
    <x v="2"/>
    <x v="2"/>
    <x v="0"/>
    <n v="4"/>
    <n v="4"/>
    <n v="1"/>
    <n v="1.1000000000000001"/>
    <x v="5"/>
  </r>
  <r>
    <x v="6"/>
    <x v="4"/>
    <x v="4"/>
    <x v="2"/>
    <x v="4"/>
    <x v="1"/>
    <n v="5"/>
    <n v="4"/>
    <n v="0"/>
    <n v="2.8"/>
    <x v="6"/>
  </r>
  <r>
    <x v="5"/>
    <x v="0"/>
    <x v="12"/>
    <x v="5"/>
    <x v="5"/>
    <x v="0"/>
    <n v="3"/>
    <n v="2"/>
    <n v="0"/>
    <n v="1.8"/>
    <x v="5"/>
  </r>
  <r>
    <x v="10"/>
    <x v="5"/>
    <x v="5"/>
    <x v="5"/>
    <x v="1"/>
    <x v="1"/>
    <n v="11"/>
    <n v="10"/>
    <n v="1"/>
    <n v="0.7"/>
    <x v="10"/>
  </r>
  <r>
    <x v="4"/>
    <x v="8"/>
    <x v="10"/>
    <x v="2"/>
    <x v="0"/>
    <x v="1"/>
    <n v="7"/>
    <n v="6"/>
    <n v="0"/>
    <n v="3.3"/>
    <x v="4"/>
  </r>
  <r>
    <x v="5"/>
    <x v="8"/>
    <x v="10"/>
    <x v="0"/>
    <x v="1"/>
    <x v="1"/>
    <n v="6"/>
    <n v="6"/>
    <n v="0"/>
    <n v="1.7"/>
    <x v="5"/>
  </r>
  <r>
    <x v="9"/>
    <x v="9"/>
    <x v="17"/>
    <x v="3"/>
    <x v="2"/>
    <x v="0"/>
    <n v="3"/>
    <n v="2"/>
    <n v="0"/>
    <n v="1.9"/>
    <x v="9"/>
  </r>
  <r>
    <x v="5"/>
    <x v="5"/>
    <x v="5"/>
    <x v="5"/>
    <x v="1"/>
    <x v="1"/>
    <n v="4"/>
    <n v="3"/>
    <n v="0"/>
    <n v="3.2"/>
    <x v="5"/>
  </r>
  <r>
    <x v="5"/>
    <x v="5"/>
    <x v="5"/>
    <x v="2"/>
    <x v="0"/>
    <x v="1"/>
    <n v="3"/>
    <n v="2"/>
    <n v="0"/>
    <n v="3.3"/>
    <x v="5"/>
  </r>
  <r>
    <x v="9"/>
    <x v="3"/>
    <x v="15"/>
    <x v="3"/>
    <x v="4"/>
    <x v="0"/>
    <n v="5"/>
    <n v="5"/>
    <n v="1"/>
    <n v="3.4"/>
    <x v="9"/>
  </r>
  <r>
    <x v="5"/>
    <x v="8"/>
    <x v="10"/>
    <x v="4"/>
    <x v="4"/>
    <x v="1"/>
    <n v="2"/>
    <n v="2"/>
    <n v="1"/>
    <n v="0.8"/>
    <x v="5"/>
  </r>
  <r>
    <x v="2"/>
    <x v="1"/>
    <x v="1"/>
    <x v="2"/>
    <x v="4"/>
    <x v="1"/>
    <n v="7"/>
    <n v="6"/>
    <n v="0"/>
    <n v="0.9"/>
    <x v="2"/>
  </r>
  <r>
    <x v="3"/>
    <x v="7"/>
    <x v="9"/>
    <x v="1"/>
    <x v="4"/>
    <x v="0"/>
    <n v="1"/>
    <n v="1"/>
    <n v="0"/>
    <n v="3.8"/>
    <x v="3"/>
  </r>
  <r>
    <x v="11"/>
    <x v="6"/>
    <x v="8"/>
    <x v="5"/>
    <x v="2"/>
    <x v="0"/>
    <n v="3"/>
    <n v="3"/>
    <n v="0"/>
    <n v="3.2"/>
    <x v="11"/>
  </r>
  <r>
    <x v="8"/>
    <x v="8"/>
    <x v="10"/>
    <x v="3"/>
    <x v="1"/>
    <x v="0"/>
    <n v="2"/>
    <n v="2"/>
    <n v="0"/>
    <n v="3.2"/>
    <x v="8"/>
  </r>
  <r>
    <x v="7"/>
    <x v="9"/>
    <x v="17"/>
    <x v="0"/>
    <x v="2"/>
    <x v="0"/>
    <n v="4"/>
    <n v="3"/>
    <n v="0"/>
    <n v="2.1"/>
    <x v="7"/>
  </r>
  <r>
    <x v="11"/>
    <x v="4"/>
    <x v="11"/>
    <x v="4"/>
    <x v="1"/>
    <x v="0"/>
    <n v="6"/>
    <n v="6"/>
    <n v="1"/>
    <n v="4.5"/>
    <x v="11"/>
  </r>
  <r>
    <x v="4"/>
    <x v="5"/>
    <x v="6"/>
    <x v="0"/>
    <x v="1"/>
    <x v="0"/>
    <n v="2"/>
    <n v="1"/>
    <n v="0"/>
    <n v="3.1"/>
    <x v="4"/>
  </r>
  <r>
    <x v="4"/>
    <x v="9"/>
    <x v="14"/>
    <x v="3"/>
    <x v="2"/>
    <x v="1"/>
    <n v="9"/>
    <n v="9"/>
    <n v="2"/>
    <n v="3.9"/>
    <x v="4"/>
  </r>
  <r>
    <x v="10"/>
    <x v="1"/>
    <x v="16"/>
    <x v="0"/>
    <x v="2"/>
    <x v="0"/>
    <n v="4"/>
    <n v="4"/>
    <n v="0"/>
    <n v="4.5"/>
    <x v="10"/>
  </r>
  <r>
    <x v="6"/>
    <x v="5"/>
    <x v="5"/>
    <x v="0"/>
    <x v="2"/>
    <x v="1"/>
    <n v="5"/>
    <n v="5"/>
    <n v="0"/>
    <n v="1.9"/>
    <x v="6"/>
  </r>
  <r>
    <x v="9"/>
    <x v="5"/>
    <x v="6"/>
    <x v="4"/>
    <x v="5"/>
    <x v="1"/>
    <n v="8"/>
    <n v="6"/>
    <n v="1"/>
    <n v="3.3"/>
    <x v="9"/>
  </r>
  <r>
    <x v="0"/>
    <x v="7"/>
    <x v="13"/>
    <x v="5"/>
    <x v="5"/>
    <x v="0"/>
    <n v="2"/>
    <n v="2"/>
    <n v="0"/>
    <n v="1.3"/>
    <x v="0"/>
  </r>
  <r>
    <x v="2"/>
    <x v="2"/>
    <x v="19"/>
    <x v="5"/>
    <x v="5"/>
    <x v="0"/>
    <n v="7"/>
    <n v="7"/>
    <n v="0"/>
    <n v="1.4"/>
    <x v="2"/>
  </r>
  <r>
    <x v="11"/>
    <x v="9"/>
    <x v="14"/>
    <x v="5"/>
    <x v="5"/>
    <x v="1"/>
    <n v="5"/>
    <n v="5"/>
    <n v="0"/>
    <n v="1.8"/>
    <x v="11"/>
  </r>
  <r>
    <x v="1"/>
    <x v="4"/>
    <x v="4"/>
    <x v="0"/>
    <x v="3"/>
    <x v="0"/>
    <n v="8"/>
    <n v="7"/>
    <n v="1"/>
    <n v="2.8"/>
    <x v="1"/>
  </r>
  <r>
    <x v="11"/>
    <x v="6"/>
    <x v="7"/>
    <x v="4"/>
    <x v="2"/>
    <x v="0"/>
    <n v="2"/>
    <n v="1"/>
    <n v="0"/>
    <n v="3.2"/>
    <x v="11"/>
  </r>
  <r>
    <x v="6"/>
    <x v="1"/>
    <x v="1"/>
    <x v="0"/>
    <x v="2"/>
    <x v="0"/>
    <n v="4"/>
    <n v="4"/>
    <n v="0"/>
    <n v="2.1"/>
    <x v="6"/>
  </r>
  <r>
    <x v="1"/>
    <x v="6"/>
    <x v="8"/>
    <x v="3"/>
    <x v="4"/>
    <x v="0"/>
    <n v="3"/>
    <n v="3"/>
    <n v="0"/>
    <n v="3.3"/>
    <x v="1"/>
  </r>
  <r>
    <x v="4"/>
    <x v="2"/>
    <x v="2"/>
    <x v="5"/>
    <x v="2"/>
    <x v="1"/>
    <n v="6"/>
    <n v="6"/>
    <n v="0"/>
    <n v="2.8"/>
    <x v="4"/>
  </r>
  <r>
    <x v="11"/>
    <x v="1"/>
    <x v="1"/>
    <x v="5"/>
    <x v="4"/>
    <x v="0"/>
    <n v="5"/>
    <n v="4"/>
    <n v="1"/>
    <n v="0.8"/>
    <x v="11"/>
  </r>
  <r>
    <x v="0"/>
    <x v="9"/>
    <x v="14"/>
    <x v="2"/>
    <x v="4"/>
    <x v="0"/>
    <n v="4"/>
    <n v="4"/>
    <n v="0"/>
    <n v="2.7"/>
    <x v="0"/>
  </r>
  <r>
    <x v="1"/>
    <x v="5"/>
    <x v="5"/>
    <x v="1"/>
    <x v="1"/>
    <x v="1"/>
    <n v="7"/>
    <n v="5"/>
    <n v="0"/>
    <n v="3.2"/>
    <x v="1"/>
  </r>
  <r>
    <x v="1"/>
    <x v="7"/>
    <x v="13"/>
    <x v="4"/>
    <x v="3"/>
    <x v="0"/>
    <n v="3"/>
    <n v="3"/>
    <n v="0"/>
    <n v="3.4"/>
    <x v="1"/>
  </r>
  <r>
    <x v="5"/>
    <x v="6"/>
    <x v="7"/>
    <x v="2"/>
    <x v="1"/>
    <x v="0"/>
    <n v="5"/>
    <n v="4"/>
    <n v="1"/>
    <n v="2.4"/>
    <x v="5"/>
  </r>
  <r>
    <x v="2"/>
    <x v="7"/>
    <x v="13"/>
    <x v="0"/>
    <x v="0"/>
    <x v="1"/>
    <n v="7"/>
    <n v="7"/>
    <n v="0"/>
    <n v="3.2"/>
    <x v="2"/>
  </r>
  <r>
    <x v="9"/>
    <x v="8"/>
    <x v="18"/>
    <x v="0"/>
    <x v="1"/>
    <x v="0"/>
    <n v="4"/>
    <n v="4"/>
    <n v="0"/>
    <n v="1.8"/>
    <x v="9"/>
  </r>
  <r>
    <x v="7"/>
    <x v="9"/>
    <x v="14"/>
    <x v="5"/>
    <x v="2"/>
    <x v="1"/>
    <n v="9"/>
    <n v="8"/>
    <n v="0"/>
    <n v="2.7"/>
    <x v="7"/>
  </r>
  <r>
    <x v="2"/>
    <x v="4"/>
    <x v="4"/>
    <x v="5"/>
    <x v="4"/>
    <x v="1"/>
    <n v="7"/>
    <n v="6"/>
    <n v="0"/>
    <n v="2.8"/>
    <x v="2"/>
  </r>
  <r>
    <x v="0"/>
    <x v="5"/>
    <x v="5"/>
    <x v="4"/>
    <x v="1"/>
    <x v="1"/>
    <n v="6"/>
    <n v="5"/>
    <n v="0"/>
    <n v="4.2"/>
    <x v="0"/>
  </r>
  <r>
    <x v="6"/>
    <x v="2"/>
    <x v="2"/>
    <x v="0"/>
    <x v="5"/>
    <x v="0"/>
    <n v="2"/>
    <n v="1"/>
    <n v="1"/>
    <n v="4.5"/>
    <x v="6"/>
  </r>
  <r>
    <x v="4"/>
    <x v="6"/>
    <x v="8"/>
    <x v="3"/>
    <x v="3"/>
    <x v="1"/>
    <n v="8"/>
    <n v="7"/>
    <n v="0"/>
    <n v="2.2999999999999998"/>
    <x v="4"/>
  </r>
  <r>
    <x v="6"/>
    <x v="7"/>
    <x v="13"/>
    <x v="0"/>
    <x v="5"/>
    <x v="0"/>
    <n v="5"/>
    <n v="5"/>
    <n v="0"/>
    <n v="1.8"/>
    <x v="6"/>
  </r>
  <r>
    <x v="7"/>
    <x v="4"/>
    <x v="11"/>
    <x v="1"/>
    <x v="4"/>
    <x v="1"/>
    <n v="4"/>
    <n v="4"/>
    <n v="0"/>
    <n v="2.7"/>
    <x v="7"/>
  </r>
  <r>
    <x v="8"/>
    <x v="2"/>
    <x v="2"/>
    <x v="0"/>
    <x v="1"/>
    <x v="1"/>
    <n v="2"/>
    <n v="2"/>
    <n v="0"/>
    <n v="3.5"/>
    <x v="8"/>
  </r>
  <r>
    <x v="5"/>
    <x v="9"/>
    <x v="17"/>
    <x v="0"/>
    <x v="2"/>
    <x v="1"/>
    <n v="3"/>
    <n v="3"/>
    <n v="0"/>
    <n v="2.6"/>
    <x v="5"/>
  </r>
  <r>
    <x v="6"/>
    <x v="7"/>
    <x v="9"/>
    <x v="3"/>
    <x v="1"/>
    <x v="0"/>
    <n v="2"/>
    <n v="2"/>
    <n v="0"/>
    <n v="3.1"/>
    <x v="6"/>
  </r>
  <r>
    <x v="10"/>
    <x v="5"/>
    <x v="6"/>
    <x v="1"/>
    <x v="5"/>
    <x v="0"/>
    <n v="7"/>
    <n v="6"/>
    <n v="0"/>
    <n v="2.5"/>
    <x v="10"/>
  </r>
  <r>
    <x v="6"/>
    <x v="9"/>
    <x v="17"/>
    <x v="3"/>
    <x v="3"/>
    <x v="0"/>
    <n v="7"/>
    <n v="7"/>
    <n v="0"/>
    <n v="3.7"/>
    <x v="6"/>
  </r>
  <r>
    <x v="6"/>
    <x v="5"/>
    <x v="6"/>
    <x v="2"/>
    <x v="4"/>
    <x v="1"/>
    <n v="3"/>
    <n v="3"/>
    <n v="0"/>
    <n v="2.2000000000000002"/>
    <x v="6"/>
  </r>
  <r>
    <x v="5"/>
    <x v="3"/>
    <x v="15"/>
    <x v="4"/>
    <x v="2"/>
    <x v="0"/>
    <n v="5"/>
    <n v="5"/>
    <n v="0"/>
    <n v="4.7"/>
    <x v="5"/>
  </r>
  <r>
    <x v="2"/>
    <x v="1"/>
    <x v="1"/>
    <x v="3"/>
    <x v="4"/>
    <x v="1"/>
    <n v="1"/>
    <n v="1"/>
    <n v="0"/>
    <n v="2.1"/>
    <x v="2"/>
  </r>
  <r>
    <x v="6"/>
    <x v="8"/>
    <x v="10"/>
    <x v="3"/>
    <x v="5"/>
    <x v="0"/>
    <n v="6"/>
    <n v="6"/>
    <n v="0"/>
    <n v="4"/>
    <x v="6"/>
  </r>
  <r>
    <x v="0"/>
    <x v="6"/>
    <x v="8"/>
    <x v="2"/>
    <x v="2"/>
    <x v="1"/>
    <n v="6"/>
    <n v="6"/>
    <n v="0"/>
    <n v="3.5"/>
    <x v="0"/>
  </r>
  <r>
    <x v="2"/>
    <x v="9"/>
    <x v="17"/>
    <x v="3"/>
    <x v="1"/>
    <x v="0"/>
    <n v="9"/>
    <n v="8"/>
    <n v="0"/>
    <n v="1.2"/>
    <x v="2"/>
  </r>
  <r>
    <x v="5"/>
    <x v="6"/>
    <x v="8"/>
    <x v="2"/>
    <x v="0"/>
    <x v="0"/>
    <n v="8"/>
    <n v="6"/>
    <n v="0"/>
    <n v="2.2000000000000002"/>
    <x v="5"/>
  </r>
  <r>
    <x v="7"/>
    <x v="8"/>
    <x v="18"/>
    <x v="2"/>
    <x v="5"/>
    <x v="1"/>
    <n v="7"/>
    <n v="7"/>
    <n v="2"/>
    <n v="3.9"/>
    <x v="7"/>
  </r>
  <r>
    <x v="7"/>
    <x v="1"/>
    <x v="1"/>
    <x v="4"/>
    <x v="3"/>
    <x v="1"/>
    <n v="7"/>
    <n v="6"/>
    <n v="0"/>
    <n v="3.5"/>
    <x v="7"/>
  </r>
  <r>
    <x v="5"/>
    <x v="8"/>
    <x v="18"/>
    <x v="0"/>
    <x v="5"/>
    <x v="1"/>
    <n v="5"/>
    <n v="5"/>
    <n v="0"/>
    <n v="2.2000000000000002"/>
    <x v="5"/>
  </r>
  <r>
    <x v="4"/>
    <x v="0"/>
    <x v="12"/>
    <x v="1"/>
    <x v="4"/>
    <x v="0"/>
    <n v="4"/>
    <n v="4"/>
    <n v="0"/>
    <n v="4.2"/>
    <x v="4"/>
  </r>
  <r>
    <x v="1"/>
    <x v="8"/>
    <x v="10"/>
    <x v="2"/>
    <x v="2"/>
    <x v="0"/>
    <n v="3"/>
    <n v="3"/>
    <n v="0"/>
    <n v="3.2"/>
    <x v="1"/>
  </r>
  <r>
    <x v="5"/>
    <x v="3"/>
    <x v="3"/>
    <x v="2"/>
    <x v="2"/>
    <x v="0"/>
    <n v="5"/>
    <n v="5"/>
    <n v="0"/>
    <n v="3.1"/>
    <x v="5"/>
  </r>
  <r>
    <x v="8"/>
    <x v="4"/>
    <x v="4"/>
    <x v="2"/>
    <x v="3"/>
    <x v="0"/>
    <n v="5"/>
    <n v="5"/>
    <n v="0"/>
    <n v="3.1"/>
    <x v="8"/>
  </r>
  <r>
    <x v="3"/>
    <x v="7"/>
    <x v="9"/>
    <x v="1"/>
    <x v="2"/>
    <x v="1"/>
    <n v="4"/>
    <n v="4"/>
    <n v="0"/>
    <n v="3.2"/>
    <x v="3"/>
  </r>
  <r>
    <x v="4"/>
    <x v="3"/>
    <x v="3"/>
    <x v="3"/>
    <x v="2"/>
    <x v="1"/>
    <n v="3"/>
    <n v="3"/>
    <n v="0"/>
    <n v="3.7"/>
    <x v="4"/>
  </r>
  <r>
    <x v="2"/>
    <x v="5"/>
    <x v="5"/>
    <x v="1"/>
    <x v="2"/>
    <x v="0"/>
    <n v="2"/>
    <n v="1"/>
    <n v="1"/>
    <n v="4.9000000000000004"/>
    <x v="2"/>
  </r>
  <r>
    <x v="2"/>
    <x v="4"/>
    <x v="11"/>
    <x v="2"/>
    <x v="3"/>
    <x v="0"/>
    <n v="5"/>
    <n v="5"/>
    <n v="0"/>
    <n v="1.7"/>
    <x v="2"/>
  </r>
  <r>
    <x v="6"/>
    <x v="0"/>
    <x v="0"/>
    <x v="2"/>
    <x v="5"/>
    <x v="0"/>
    <n v="2"/>
    <n v="1"/>
    <n v="0"/>
    <n v="2.2000000000000002"/>
    <x v="6"/>
  </r>
  <r>
    <x v="11"/>
    <x v="7"/>
    <x v="13"/>
    <x v="0"/>
    <x v="3"/>
    <x v="0"/>
    <n v="4"/>
    <n v="4"/>
    <n v="0"/>
    <n v="2.7"/>
    <x v="11"/>
  </r>
  <r>
    <x v="10"/>
    <x v="4"/>
    <x v="11"/>
    <x v="0"/>
    <x v="3"/>
    <x v="1"/>
    <n v="4"/>
    <n v="3"/>
    <n v="2"/>
    <n v="2.4"/>
    <x v="10"/>
  </r>
  <r>
    <x v="8"/>
    <x v="4"/>
    <x v="4"/>
    <x v="0"/>
    <x v="0"/>
    <x v="0"/>
    <n v="7"/>
    <n v="7"/>
    <n v="0"/>
    <n v="3.2"/>
    <x v="8"/>
  </r>
  <r>
    <x v="10"/>
    <x v="0"/>
    <x v="12"/>
    <x v="0"/>
    <x v="2"/>
    <x v="0"/>
    <n v="8"/>
    <n v="8"/>
    <n v="0"/>
    <n v="2"/>
    <x v="10"/>
  </r>
  <r>
    <x v="3"/>
    <x v="4"/>
    <x v="11"/>
    <x v="2"/>
    <x v="3"/>
    <x v="1"/>
    <n v="5"/>
    <n v="5"/>
    <n v="0"/>
    <n v="2.1"/>
    <x v="3"/>
  </r>
  <r>
    <x v="4"/>
    <x v="5"/>
    <x v="5"/>
    <x v="1"/>
    <x v="1"/>
    <x v="1"/>
    <n v="1"/>
    <n v="1"/>
    <n v="0"/>
    <n v="3.1"/>
    <x v="4"/>
  </r>
  <r>
    <x v="8"/>
    <x v="0"/>
    <x v="0"/>
    <x v="1"/>
    <x v="1"/>
    <x v="1"/>
    <n v="3"/>
    <n v="3"/>
    <n v="0"/>
    <n v="2.2000000000000002"/>
    <x v="8"/>
  </r>
  <r>
    <x v="0"/>
    <x v="4"/>
    <x v="4"/>
    <x v="2"/>
    <x v="1"/>
    <x v="1"/>
    <n v="8"/>
    <n v="7"/>
    <n v="0"/>
    <n v="1.9"/>
    <x v="0"/>
  </r>
  <r>
    <x v="4"/>
    <x v="7"/>
    <x v="9"/>
    <x v="4"/>
    <x v="2"/>
    <x v="0"/>
    <n v="3"/>
    <n v="3"/>
    <n v="0"/>
    <n v="2"/>
    <x v="4"/>
  </r>
  <r>
    <x v="8"/>
    <x v="9"/>
    <x v="17"/>
    <x v="4"/>
    <x v="3"/>
    <x v="1"/>
    <n v="7"/>
    <n v="6"/>
    <n v="2"/>
    <n v="4.2"/>
    <x v="8"/>
  </r>
  <r>
    <x v="6"/>
    <x v="6"/>
    <x v="8"/>
    <x v="3"/>
    <x v="4"/>
    <x v="0"/>
    <n v="3"/>
    <n v="3"/>
    <n v="0"/>
    <n v="1.8"/>
    <x v="6"/>
  </r>
  <r>
    <x v="8"/>
    <x v="7"/>
    <x v="13"/>
    <x v="4"/>
    <x v="5"/>
    <x v="1"/>
    <n v="5"/>
    <n v="4"/>
    <n v="0"/>
    <n v="1.3"/>
    <x v="8"/>
  </r>
  <r>
    <x v="3"/>
    <x v="4"/>
    <x v="11"/>
    <x v="4"/>
    <x v="1"/>
    <x v="0"/>
    <n v="8"/>
    <n v="8"/>
    <n v="0"/>
    <n v="1.9"/>
    <x v="3"/>
  </r>
  <r>
    <x v="11"/>
    <x v="8"/>
    <x v="10"/>
    <x v="1"/>
    <x v="5"/>
    <x v="0"/>
    <n v="3"/>
    <n v="3"/>
    <n v="1"/>
    <n v="2.6"/>
    <x v="11"/>
  </r>
  <r>
    <x v="1"/>
    <x v="8"/>
    <x v="10"/>
    <x v="4"/>
    <x v="5"/>
    <x v="1"/>
    <n v="5"/>
    <n v="4"/>
    <n v="0"/>
    <n v="2.2000000000000002"/>
    <x v="1"/>
  </r>
  <r>
    <x v="10"/>
    <x v="8"/>
    <x v="18"/>
    <x v="1"/>
    <x v="5"/>
    <x v="0"/>
    <n v="3"/>
    <n v="2"/>
    <n v="0"/>
    <n v="2.6"/>
    <x v="10"/>
  </r>
  <r>
    <x v="2"/>
    <x v="4"/>
    <x v="4"/>
    <x v="4"/>
    <x v="1"/>
    <x v="0"/>
    <n v="7"/>
    <n v="5"/>
    <n v="0"/>
    <n v="3.6"/>
    <x v="2"/>
  </r>
  <r>
    <x v="4"/>
    <x v="9"/>
    <x v="14"/>
    <x v="0"/>
    <x v="3"/>
    <x v="1"/>
    <n v="3"/>
    <n v="2"/>
    <n v="0"/>
    <n v="2.2000000000000002"/>
    <x v="4"/>
  </r>
  <r>
    <x v="2"/>
    <x v="7"/>
    <x v="9"/>
    <x v="2"/>
    <x v="2"/>
    <x v="1"/>
    <n v="5"/>
    <n v="4"/>
    <n v="0"/>
    <n v="2.8"/>
    <x v="2"/>
  </r>
  <r>
    <x v="6"/>
    <x v="5"/>
    <x v="5"/>
    <x v="2"/>
    <x v="2"/>
    <x v="1"/>
    <n v="5"/>
    <n v="5"/>
    <n v="0"/>
    <n v="1.9"/>
    <x v="6"/>
  </r>
  <r>
    <x v="7"/>
    <x v="5"/>
    <x v="6"/>
    <x v="1"/>
    <x v="4"/>
    <x v="0"/>
    <n v="5"/>
    <n v="5"/>
    <n v="1"/>
    <n v="4.2"/>
    <x v="7"/>
  </r>
  <r>
    <x v="5"/>
    <x v="9"/>
    <x v="14"/>
    <x v="0"/>
    <x v="3"/>
    <x v="0"/>
    <n v="7"/>
    <n v="7"/>
    <n v="0"/>
    <n v="3.6"/>
    <x v="5"/>
  </r>
  <r>
    <x v="9"/>
    <x v="0"/>
    <x v="12"/>
    <x v="1"/>
    <x v="1"/>
    <x v="0"/>
    <n v="5"/>
    <n v="5"/>
    <n v="0"/>
    <n v="2.5"/>
    <x v="9"/>
  </r>
  <r>
    <x v="7"/>
    <x v="5"/>
    <x v="5"/>
    <x v="4"/>
    <x v="3"/>
    <x v="1"/>
    <n v="3"/>
    <n v="3"/>
    <n v="0"/>
    <n v="2.5"/>
    <x v="7"/>
  </r>
  <r>
    <x v="6"/>
    <x v="5"/>
    <x v="5"/>
    <x v="0"/>
    <x v="2"/>
    <x v="0"/>
    <n v="3"/>
    <n v="3"/>
    <n v="0"/>
    <n v="4"/>
    <x v="6"/>
  </r>
  <r>
    <x v="6"/>
    <x v="9"/>
    <x v="14"/>
    <x v="3"/>
    <x v="5"/>
    <x v="0"/>
    <n v="3"/>
    <n v="3"/>
    <n v="0"/>
    <n v="3.2"/>
    <x v="6"/>
  </r>
  <r>
    <x v="7"/>
    <x v="1"/>
    <x v="1"/>
    <x v="3"/>
    <x v="5"/>
    <x v="0"/>
    <n v="5"/>
    <n v="5"/>
    <n v="0"/>
    <n v="1.4"/>
    <x v="7"/>
  </r>
  <r>
    <x v="3"/>
    <x v="8"/>
    <x v="10"/>
    <x v="0"/>
    <x v="2"/>
    <x v="1"/>
    <n v="7"/>
    <n v="7"/>
    <n v="0"/>
    <n v="3.1"/>
    <x v="3"/>
  </r>
  <r>
    <x v="3"/>
    <x v="8"/>
    <x v="10"/>
    <x v="1"/>
    <x v="4"/>
    <x v="0"/>
    <n v="4"/>
    <n v="4"/>
    <n v="0"/>
    <n v="4.5"/>
    <x v="3"/>
  </r>
  <r>
    <x v="11"/>
    <x v="5"/>
    <x v="5"/>
    <x v="1"/>
    <x v="5"/>
    <x v="0"/>
    <n v="3"/>
    <n v="3"/>
    <n v="0"/>
    <n v="3.7"/>
    <x v="11"/>
  </r>
  <r>
    <x v="1"/>
    <x v="8"/>
    <x v="18"/>
    <x v="3"/>
    <x v="4"/>
    <x v="0"/>
    <n v="5"/>
    <n v="5"/>
    <n v="1"/>
    <n v="3"/>
    <x v="1"/>
  </r>
  <r>
    <x v="7"/>
    <x v="7"/>
    <x v="9"/>
    <x v="3"/>
    <x v="0"/>
    <x v="1"/>
    <n v="4"/>
    <n v="3"/>
    <n v="0"/>
    <n v="3.1"/>
    <x v="7"/>
  </r>
  <r>
    <x v="10"/>
    <x v="2"/>
    <x v="19"/>
    <x v="0"/>
    <x v="1"/>
    <x v="0"/>
    <n v="6"/>
    <n v="5"/>
    <n v="0"/>
    <n v="4.3"/>
    <x v="10"/>
  </r>
  <r>
    <x v="11"/>
    <x v="0"/>
    <x v="12"/>
    <x v="5"/>
    <x v="0"/>
    <x v="0"/>
    <n v="6"/>
    <n v="6"/>
    <n v="1"/>
    <n v="0.8"/>
    <x v="11"/>
  </r>
  <r>
    <x v="5"/>
    <x v="8"/>
    <x v="10"/>
    <x v="0"/>
    <x v="5"/>
    <x v="0"/>
    <n v="8"/>
    <n v="7"/>
    <n v="0"/>
    <n v="2.9"/>
    <x v="5"/>
  </r>
  <r>
    <x v="9"/>
    <x v="7"/>
    <x v="9"/>
    <x v="4"/>
    <x v="2"/>
    <x v="1"/>
    <n v="4"/>
    <n v="4"/>
    <n v="0"/>
    <n v="1.8"/>
    <x v="9"/>
  </r>
  <r>
    <x v="5"/>
    <x v="2"/>
    <x v="19"/>
    <x v="5"/>
    <x v="4"/>
    <x v="0"/>
    <n v="8"/>
    <n v="8"/>
    <n v="0"/>
    <n v="3.3"/>
    <x v="5"/>
  </r>
  <r>
    <x v="11"/>
    <x v="1"/>
    <x v="1"/>
    <x v="2"/>
    <x v="1"/>
    <x v="1"/>
    <n v="1"/>
    <n v="1"/>
    <n v="0"/>
    <n v="5.5"/>
    <x v="11"/>
  </r>
  <r>
    <x v="3"/>
    <x v="1"/>
    <x v="1"/>
    <x v="4"/>
    <x v="0"/>
    <x v="0"/>
    <n v="4"/>
    <n v="4"/>
    <n v="0"/>
    <n v="3.9"/>
    <x v="3"/>
  </r>
  <r>
    <x v="2"/>
    <x v="4"/>
    <x v="11"/>
    <x v="5"/>
    <x v="2"/>
    <x v="1"/>
    <n v="4"/>
    <n v="3"/>
    <n v="0"/>
    <n v="5.0999999999999996"/>
    <x v="2"/>
  </r>
  <r>
    <x v="8"/>
    <x v="9"/>
    <x v="14"/>
    <x v="0"/>
    <x v="2"/>
    <x v="0"/>
    <n v="8"/>
    <n v="8"/>
    <n v="0"/>
    <n v="3.5"/>
    <x v="8"/>
  </r>
  <r>
    <x v="6"/>
    <x v="0"/>
    <x v="12"/>
    <x v="5"/>
    <x v="1"/>
    <x v="1"/>
    <n v="4"/>
    <n v="4"/>
    <n v="0"/>
    <n v="1.2"/>
    <x v="6"/>
  </r>
  <r>
    <x v="4"/>
    <x v="5"/>
    <x v="5"/>
    <x v="4"/>
    <x v="1"/>
    <x v="0"/>
    <n v="4"/>
    <n v="4"/>
    <n v="0"/>
    <n v="2.9"/>
    <x v="4"/>
  </r>
  <r>
    <x v="11"/>
    <x v="3"/>
    <x v="15"/>
    <x v="3"/>
    <x v="1"/>
    <x v="1"/>
    <n v="8"/>
    <n v="8"/>
    <n v="1"/>
    <n v="4"/>
    <x v="11"/>
  </r>
  <r>
    <x v="7"/>
    <x v="3"/>
    <x v="3"/>
    <x v="1"/>
    <x v="2"/>
    <x v="1"/>
    <n v="3"/>
    <n v="3"/>
    <n v="0"/>
    <n v="3.8"/>
    <x v="7"/>
  </r>
  <r>
    <x v="0"/>
    <x v="4"/>
    <x v="11"/>
    <x v="0"/>
    <x v="0"/>
    <x v="1"/>
    <n v="7"/>
    <n v="6"/>
    <n v="1"/>
    <n v="2.2000000000000002"/>
    <x v="0"/>
  </r>
  <r>
    <x v="0"/>
    <x v="8"/>
    <x v="18"/>
    <x v="5"/>
    <x v="0"/>
    <x v="1"/>
    <n v="7"/>
    <n v="6"/>
    <n v="0"/>
    <n v="4.9000000000000004"/>
    <x v="0"/>
  </r>
  <r>
    <x v="11"/>
    <x v="1"/>
    <x v="16"/>
    <x v="2"/>
    <x v="4"/>
    <x v="1"/>
    <n v="4"/>
    <n v="3"/>
    <n v="1"/>
    <n v="2.1"/>
    <x v="11"/>
  </r>
  <r>
    <x v="9"/>
    <x v="9"/>
    <x v="17"/>
    <x v="4"/>
    <x v="5"/>
    <x v="0"/>
    <n v="7"/>
    <n v="7"/>
    <n v="0"/>
    <n v="2.7"/>
    <x v="9"/>
  </r>
  <r>
    <x v="0"/>
    <x v="6"/>
    <x v="7"/>
    <x v="4"/>
    <x v="1"/>
    <x v="1"/>
    <n v="7"/>
    <n v="6"/>
    <n v="1"/>
    <n v="2.5"/>
    <x v="0"/>
  </r>
  <r>
    <x v="6"/>
    <x v="4"/>
    <x v="11"/>
    <x v="1"/>
    <x v="0"/>
    <x v="1"/>
    <n v="5"/>
    <n v="5"/>
    <n v="1"/>
    <n v="2.9"/>
    <x v="6"/>
  </r>
  <r>
    <x v="9"/>
    <x v="9"/>
    <x v="17"/>
    <x v="3"/>
    <x v="1"/>
    <x v="1"/>
    <n v="9"/>
    <n v="9"/>
    <n v="1"/>
    <n v="3.3"/>
    <x v="9"/>
  </r>
  <r>
    <x v="0"/>
    <x v="9"/>
    <x v="17"/>
    <x v="0"/>
    <x v="4"/>
    <x v="0"/>
    <n v="2"/>
    <n v="2"/>
    <n v="0"/>
    <n v="1.9"/>
    <x v="0"/>
  </r>
  <r>
    <x v="4"/>
    <x v="8"/>
    <x v="18"/>
    <x v="3"/>
    <x v="2"/>
    <x v="0"/>
    <n v="8"/>
    <n v="7"/>
    <n v="0"/>
    <n v="2.6"/>
    <x v="4"/>
  </r>
  <r>
    <x v="7"/>
    <x v="8"/>
    <x v="10"/>
    <x v="5"/>
    <x v="1"/>
    <x v="0"/>
    <n v="7"/>
    <n v="5"/>
    <n v="0"/>
    <n v="3.1"/>
    <x v="7"/>
  </r>
  <r>
    <x v="5"/>
    <x v="0"/>
    <x v="12"/>
    <x v="4"/>
    <x v="5"/>
    <x v="0"/>
    <n v="6"/>
    <n v="6"/>
    <n v="0"/>
    <n v="3.2"/>
    <x v="5"/>
  </r>
  <r>
    <x v="10"/>
    <x v="3"/>
    <x v="3"/>
    <x v="3"/>
    <x v="2"/>
    <x v="1"/>
    <n v="6"/>
    <n v="5"/>
    <n v="0"/>
    <n v="1.9"/>
    <x v="10"/>
  </r>
  <r>
    <x v="9"/>
    <x v="3"/>
    <x v="15"/>
    <x v="2"/>
    <x v="0"/>
    <x v="0"/>
    <n v="5"/>
    <n v="5"/>
    <n v="1"/>
    <n v="3"/>
    <x v="9"/>
  </r>
  <r>
    <x v="5"/>
    <x v="4"/>
    <x v="4"/>
    <x v="4"/>
    <x v="0"/>
    <x v="0"/>
    <n v="5"/>
    <n v="4"/>
    <n v="0"/>
    <n v="3.9"/>
    <x v="5"/>
  </r>
  <r>
    <x v="4"/>
    <x v="0"/>
    <x v="0"/>
    <x v="5"/>
    <x v="2"/>
    <x v="0"/>
    <n v="5"/>
    <n v="5"/>
    <n v="0"/>
    <n v="1.3"/>
    <x v="4"/>
  </r>
  <r>
    <x v="9"/>
    <x v="6"/>
    <x v="8"/>
    <x v="0"/>
    <x v="4"/>
    <x v="1"/>
    <n v="0"/>
    <n v="0"/>
    <n v="0"/>
    <n v="2.2999999999999998"/>
    <x v="9"/>
  </r>
  <r>
    <x v="3"/>
    <x v="8"/>
    <x v="10"/>
    <x v="0"/>
    <x v="5"/>
    <x v="1"/>
    <n v="2"/>
    <n v="1"/>
    <n v="0"/>
    <n v="3.5"/>
    <x v="3"/>
  </r>
  <r>
    <x v="1"/>
    <x v="3"/>
    <x v="3"/>
    <x v="5"/>
    <x v="2"/>
    <x v="0"/>
    <n v="4"/>
    <n v="3"/>
    <n v="0"/>
    <n v="4.3"/>
    <x v="1"/>
  </r>
  <r>
    <x v="4"/>
    <x v="4"/>
    <x v="11"/>
    <x v="2"/>
    <x v="0"/>
    <x v="1"/>
    <n v="6"/>
    <n v="5"/>
    <n v="0"/>
    <n v="2.6"/>
    <x v="4"/>
  </r>
  <r>
    <x v="11"/>
    <x v="3"/>
    <x v="3"/>
    <x v="0"/>
    <x v="0"/>
    <x v="0"/>
    <n v="8"/>
    <n v="7"/>
    <n v="0"/>
    <n v="3.7"/>
    <x v="11"/>
  </r>
  <r>
    <x v="6"/>
    <x v="1"/>
    <x v="1"/>
    <x v="4"/>
    <x v="5"/>
    <x v="1"/>
    <n v="2"/>
    <n v="2"/>
    <n v="0"/>
    <n v="2.4"/>
    <x v="6"/>
  </r>
  <r>
    <x v="5"/>
    <x v="2"/>
    <x v="2"/>
    <x v="4"/>
    <x v="2"/>
    <x v="0"/>
    <n v="2"/>
    <n v="2"/>
    <n v="0"/>
    <n v="1.2"/>
    <x v="5"/>
  </r>
  <r>
    <x v="0"/>
    <x v="4"/>
    <x v="11"/>
    <x v="2"/>
    <x v="4"/>
    <x v="1"/>
    <n v="6"/>
    <n v="6"/>
    <n v="0"/>
    <n v="1.8"/>
    <x v="0"/>
  </r>
  <r>
    <x v="11"/>
    <x v="0"/>
    <x v="12"/>
    <x v="2"/>
    <x v="0"/>
    <x v="1"/>
    <n v="3"/>
    <n v="3"/>
    <n v="0"/>
    <n v="3.5"/>
    <x v="11"/>
  </r>
  <r>
    <x v="0"/>
    <x v="1"/>
    <x v="16"/>
    <x v="2"/>
    <x v="3"/>
    <x v="1"/>
    <n v="5"/>
    <n v="4"/>
    <n v="0"/>
    <n v="2.5"/>
    <x v="0"/>
  </r>
  <r>
    <x v="10"/>
    <x v="6"/>
    <x v="7"/>
    <x v="3"/>
    <x v="1"/>
    <x v="0"/>
    <n v="8"/>
    <n v="8"/>
    <n v="0"/>
    <n v="1.8"/>
    <x v="10"/>
  </r>
  <r>
    <x v="7"/>
    <x v="2"/>
    <x v="2"/>
    <x v="2"/>
    <x v="0"/>
    <x v="0"/>
    <n v="7"/>
    <n v="6"/>
    <n v="0"/>
    <n v="3.2"/>
    <x v="7"/>
  </r>
  <r>
    <x v="2"/>
    <x v="6"/>
    <x v="8"/>
    <x v="1"/>
    <x v="3"/>
    <x v="0"/>
    <n v="2"/>
    <n v="2"/>
    <n v="1"/>
    <n v="2.9"/>
    <x v="2"/>
  </r>
  <r>
    <x v="10"/>
    <x v="8"/>
    <x v="10"/>
    <x v="2"/>
    <x v="0"/>
    <x v="0"/>
    <n v="2"/>
    <n v="1"/>
    <n v="0"/>
    <n v="3.4"/>
    <x v="10"/>
  </r>
  <r>
    <x v="9"/>
    <x v="1"/>
    <x v="1"/>
    <x v="2"/>
    <x v="0"/>
    <x v="0"/>
    <n v="6"/>
    <n v="6"/>
    <n v="0"/>
    <n v="3.3"/>
    <x v="9"/>
  </r>
  <r>
    <x v="6"/>
    <x v="0"/>
    <x v="12"/>
    <x v="4"/>
    <x v="2"/>
    <x v="0"/>
    <n v="3"/>
    <n v="3"/>
    <n v="0"/>
    <n v="3.9"/>
    <x v="6"/>
  </r>
  <r>
    <x v="10"/>
    <x v="4"/>
    <x v="4"/>
    <x v="5"/>
    <x v="4"/>
    <x v="1"/>
    <n v="4"/>
    <n v="4"/>
    <n v="0"/>
    <n v="4"/>
    <x v="10"/>
  </r>
  <r>
    <x v="8"/>
    <x v="3"/>
    <x v="15"/>
    <x v="0"/>
    <x v="2"/>
    <x v="1"/>
    <n v="7"/>
    <n v="7"/>
    <n v="1"/>
    <n v="1.6"/>
    <x v="8"/>
  </r>
  <r>
    <x v="4"/>
    <x v="7"/>
    <x v="13"/>
    <x v="2"/>
    <x v="0"/>
    <x v="1"/>
    <n v="2"/>
    <n v="2"/>
    <n v="0"/>
    <n v="3.1"/>
    <x v="4"/>
  </r>
  <r>
    <x v="3"/>
    <x v="6"/>
    <x v="7"/>
    <x v="5"/>
    <x v="5"/>
    <x v="0"/>
    <n v="3"/>
    <n v="3"/>
    <n v="0"/>
    <n v="2.4"/>
    <x v="3"/>
  </r>
  <r>
    <x v="8"/>
    <x v="5"/>
    <x v="6"/>
    <x v="1"/>
    <x v="1"/>
    <x v="0"/>
    <n v="1"/>
    <n v="1"/>
    <n v="0"/>
    <n v="3.5"/>
    <x v="8"/>
  </r>
  <r>
    <x v="11"/>
    <x v="4"/>
    <x v="11"/>
    <x v="3"/>
    <x v="5"/>
    <x v="1"/>
    <n v="6"/>
    <n v="5"/>
    <n v="0"/>
    <n v="2.8"/>
    <x v="11"/>
  </r>
  <r>
    <x v="5"/>
    <x v="0"/>
    <x v="0"/>
    <x v="5"/>
    <x v="0"/>
    <x v="0"/>
    <n v="5"/>
    <n v="3"/>
    <n v="0"/>
    <n v="4"/>
    <x v="5"/>
  </r>
  <r>
    <x v="5"/>
    <x v="3"/>
    <x v="15"/>
    <x v="5"/>
    <x v="4"/>
    <x v="0"/>
    <n v="2"/>
    <n v="2"/>
    <n v="0"/>
    <n v="3.2"/>
    <x v="5"/>
  </r>
  <r>
    <x v="7"/>
    <x v="3"/>
    <x v="15"/>
    <x v="3"/>
    <x v="1"/>
    <x v="1"/>
    <n v="8"/>
    <n v="7"/>
    <n v="1"/>
    <n v="2.2000000000000002"/>
    <x v="7"/>
  </r>
  <r>
    <x v="10"/>
    <x v="2"/>
    <x v="19"/>
    <x v="1"/>
    <x v="5"/>
    <x v="1"/>
    <n v="9"/>
    <n v="8"/>
    <n v="1"/>
    <n v="1.1000000000000001"/>
    <x v="10"/>
  </r>
  <r>
    <x v="7"/>
    <x v="5"/>
    <x v="6"/>
    <x v="2"/>
    <x v="5"/>
    <x v="0"/>
    <n v="6"/>
    <n v="6"/>
    <n v="0"/>
    <n v="2.9"/>
    <x v="7"/>
  </r>
  <r>
    <x v="8"/>
    <x v="6"/>
    <x v="8"/>
    <x v="4"/>
    <x v="1"/>
    <x v="1"/>
    <n v="9"/>
    <n v="8"/>
    <n v="0"/>
    <n v="4.7"/>
    <x v="8"/>
  </r>
  <r>
    <x v="10"/>
    <x v="7"/>
    <x v="13"/>
    <x v="4"/>
    <x v="4"/>
    <x v="0"/>
    <n v="1"/>
    <n v="1"/>
    <n v="1"/>
    <n v="3.8"/>
    <x v="10"/>
  </r>
  <r>
    <x v="2"/>
    <x v="8"/>
    <x v="18"/>
    <x v="4"/>
    <x v="2"/>
    <x v="1"/>
    <n v="9"/>
    <n v="8"/>
    <n v="0"/>
    <n v="1.8"/>
    <x v="2"/>
  </r>
  <r>
    <x v="1"/>
    <x v="6"/>
    <x v="7"/>
    <x v="3"/>
    <x v="3"/>
    <x v="1"/>
    <n v="5"/>
    <n v="5"/>
    <n v="1"/>
    <n v="3.9"/>
    <x v="1"/>
  </r>
  <r>
    <x v="11"/>
    <x v="8"/>
    <x v="18"/>
    <x v="1"/>
    <x v="2"/>
    <x v="0"/>
    <n v="4"/>
    <n v="4"/>
    <n v="0"/>
    <n v="2.6"/>
    <x v="11"/>
  </r>
  <r>
    <x v="3"/>
    <x v="7"/>
    <x v="9"/>
    <x v="2"/>
    <x v="4"/>
    <x v="0"/>
    <n v="4"/>
    <n v="4"/>
    <n v="0"/>
    <n v="3.4"/>
    <x v="3"/>
  </r>
  <r>
    <x v="6"/>
    <x v="3"/>
    <x v="3"/>
    <x v="3"/>
    <x v="5"/>
    <x v="1"/>
    <n v="6"/>
    <n v="5"/>
    <n v="0"/>
    <n v="3.9"/>
    <x v="6"/>
  </r>
  <r>
    <x v="6"/>
    <x v="9"/>
    <x v="17"/>
    <x v="0"/>
    <x v="1"/>
    <x v="0"/>
    <n v="5"/>
    <n v="4"/>
    <n v="1"/>
    <n v="3.4"/>
    <x v="6"/>
  </r>
  <r>
    <x v="2"/>
    <x v="0"/>
    <x v="12"/>
    <x v="2"/>
    <x v="4"/>
    <x v="0"/>
    <n v="7"/>
    <n v="7"/>
    <n v="0"/>
    <n v="3.2"/>
    <x v="2"/>
  </r>
  <r>
    <x v="5"/>
    <x v="7"/>
    <x v="9"/>
    <x v="5"/>
    <x v="5"/>
    <x v="1"/>
    <n v="3"/>
    <n v="3"/>
    <n v="0"/>
    <n v="1.3"/>
    <x v="5"/>
  </r>
  <r>
    <x v="10"/>
    <x v="2"/>
    <x v="2"/>
    <x v="5"/>
    <x v="3"/>
    <x v="1"/>
    <n v="7"/>
    <n v="7"/>
    <n v="0"/>
    <n v="2.5"/>
    <x v="10"/>
  </r>
  <r>
    <x v="1"/>
    <x v="4"/>
    <x v="11"/>
    <x v="3"/>
    <x v="1"/>
    <x v="0"/>
    <n v="2"/>
    <n v="2"/>
    <n v="0"/>
    <n v="5.4"/>
    <x v="1"/>
  </r>
  <r>
    <x v="1"/>
    <x v="2"/>
    <x v="19"/>
    <x v="0"/>
    <x v="0"/>
    <x v="1"/>
    <n v="3"/>
    <n v="3"/>
    <n v="0"/>
    <n v="3.4"/>
    <x v="1"/>
  </r>
  <r>
    <x v="2"/>
    <x v="1"/>
    <x v="1"/>
    <x v="2"/>
    <x v="0"/>
    <x v="1"/>
    <n v="4"/>
    <n v="4"/>
    <n v="0"/>
    <n v="2.9"/>
    <x v="2"/>
  </r>
  <r>
    <x v="11"/>
    <x v="0"/>
    <x v="12"/>
    <x v="3"/>
    <x v="5"/>
    <x v="1"/>
    <n v="3"/>
    <n v="3"/>
    <n v="0"/>
    <n v="2.4"/>
    <x v="11"/>
  </r>
  <r>
    <x v="11"/>
    <x v="8"/>
    <x v="18"/>
    <x v="5"/>
    <x v="0"/>
    <x v="1"/>
    <n v="3"/>
    <n v="3"/>
    <n v="0"/>
    <n v="4.5999999999999996"/>
    <x v="11"/>
  </r>
  <r>
    <x v="6"/>
    <x v="6"/>
    <x v="7"/>
    <x v="3"/>
    <x v="1"/>
    <x v="1"/>
    <n v="6"/>
    <n v="4"/>
    <n v="0"/>
    <n v="3.8"/>
    <x v="6"/>
  </r>
  <r>
    <x v="2"/>
    <x v="2"/>
    <x v="2"/>
    <x v="5"/>
    <x v="1"/>
    <x v="1"/>
    <n v="7"/>
    <n v="6"/>
    <n v="0"/>
    <n v="4.4000000000000004"/>
    <x v="2"/>
  </r>
  <r>
    <x v="0"/>
    <x v="9"/>
    <x v="17"/>
    <x v="3"/>
    <x v="3"/>
    <x v="0"/>
    <n v="4"/>
    <n v="4"/>
    <n v="0"/>
    <n v="1.4"/>
    <x v="0"/>
  </r>
  <r>
    <x v="5"/>
    <x v="9"/>
    <x v="14"/>
    <x v="1"/>
    <x v="1"/>
    <x v="0"/>
    <n v="6"/>
    <n v="6"/>
    <n v="1"/>
    <n v="3.8"/>
    <x v="5"/>
  </r>
  <r>
    <x v="5"/>
    <x v="1"/>
    <x v="16"/>
    <x v="5"/>
    <x v="4"/>
    <x v="1"/>
    <n v="4"/>
    <n v="4"/>
    <n v="0"/>
    <n v="4.0999999999999996"/>
    <x v="5"/>
  </r>
  <r>
    <x v="1"/>
    <x v="1"/>
    <x v="1"/>
    <x v="3"/>
    <x v="3"/>
    <x v="0"/>
    <n v="4"/>
    <n v="4"/>
    <n v="0"/>
    <n v="2.6"/>
    <x v="1"/>
  </r>
  <r>
    <x v="2"/>
    <x v="4"/>
    <x v="11"/>
    <x v="2"/>
    <x v="3"/>
    <x v="1"/>
    <n v="2"/>
    <n v="2"/>
    <n v="0"/>
    <n v="4.5"/>
    <x v="2"/>
  </r>
  <r>
    <x v="9"/>
    <x v="1"/>
    <x v="1"/>
    <x v="1"/>
    <x v="3"/>
    <x v="1"/>
    <n v="6"/>
    <n v="4"/>
    <n v="1"/>
    <n v="3.2"/>
    <x v="9"/>
  </r>
  <r>
    <x v="5"/>
    <x v="3"/>
    <x v="15"/>
    <x v="1"/>
    <x v="0"/>
    <x v="0"/>
    <n v="7"/>
    <n v="6"/>
    <n v="1"/>
    <n v="3.4"/>
    <x v="5"/>
  </r>
  <r>
    <x v="3"/>
    <x v="7"/>
    <x v="13"/>
    <x v="5"/>
    <x v="1"/>
    <x v="0"/>
    <n v="3"/>
    <n v="1"/>
    <n v="0"/>
    <n v="4.2"/>
    <x v="3"/>
  </r>
  <r>
    <x v="2"/>
    <x v="8"/>
    <x v="10"/>
    <x v="5"/>
    <x v="5"/>
    <x v="0"/>
    <n v="5"/>
    <n v="4"/>
    <n v="0"/>
    <n v="2.5"/>
    <x v="2"/>
  </r>
  <r>
    <x v="3"/>
    <x v="1"/>
    <x v="1"/>
    <x v="0"/>
    <x v="0"/>
    <x v="0"/>
    <n v="4"/>
    <n v="4"/>
    <n v="0"/>
    <n v="2.5"/>
    <x v="3"/>
  </r>
  <r>
    <x v="3"/>
    <x v="3"/>
    <x v="15"/>
    <x v="2"/>
    <x v="0"/>
    <x v="1"/>
    <n v="4"/>
    <n v="4"/>
    <n v="0"/>
    <n v="2"/>
    <x v="3"/>
  </r>
  <r>
    <x v="4"/>
    <x v="7"/>
    <x v="9"/>
    <x v="5"/>
    <x v="3"/>
    <x v="0"/>
    <n v="4"/>
    <n v="3"/>
    <n v="0"/>
    <n v="2.9"/>
    <x v="4"/>
  </r>
  <r>
    <x v="4"/>
    <x v="9"/>
    <x v="17"/>
    <x v="1"/>
    <x v="5"/>
    <x v="1"/>
    <n v="10"/>
    <n v="7"/>
    <n v="1"/>
    <n v="2.6"/>
    <x v="4"/>
  </r>
  <r>
    <x v="4"/>
    <x v="8"/>
    <x v="10"/>
    <x v="2"/>
    <x v="2"/>
    <x v="1"/>
    <n v="3"/>
    <n v="3"/>
    <n v="0"/>
    <n v="2.8"/>
    <x v="4"/>
  </r>
  <r>
    <x v="0"/>
    <x v="8"/>
    <x v="10"/>
    <x v="2"/>
    <x v="5"/>
    <x v="1"/>
    <n v="5"/>
    <n v="5"/>
    <n v="1"/>
    <n v="3.3"/>
    <x v="0"/>
  </r>
  <r>
    <x v="8"/>
    <x v="5"/>
    <x v="5"/>
    <x v="0"/>
    <x v="0"/>
    <x v="1"/>
    <n v="3"/>
    <n v="2"/>
    <n v="0"/>
    <n v="2.4"/>
    <x v="8"/>
  </r>
  <r>
    <x v="5"/>
    <x v="7"/>
    <x v="9"/>
    <x v="5"/>
    <x v="0"/>
    <x v="1"/>
    <n v="7"/>
    <n v="6"/>
    <n v="2"/>
    <n v="2.5"/>
    <x v="5"/>
  </r>
  <r>
    <x v="6"/>
    <x v="1"/>
    <x v="16"/>
    <x v="4"/>
    <x v="0"/>
    <x v="1"/>
    <n v="1"/>
    <n v="1"/>
    <n v="0"/>
    <n v="2.9"/>
    <x v="6"/>
  </r>
  <r>
    <x v="10"/>
    <x v="6"/>
    <x v="8"/>
    <x v="3"/>
    <x v="5"/>
    <x v="0"/>
    <n v="3"/>
    <n v="3"/>
    <n v="0"/>
    <n v="1.9"/>
    <x v="10"/>
  </r>
  <r>
    <x v="7"/>
    <x v="4"/>
    <x v="4"/>
    <x v="2"/>
    <x v="3"/>
    <x v="1"/>
    <n v="8"/>
    <n v="6"/>
    <n v="2"/>
    <n v="0"/>
    <x v="7"/>
  </r>
  <r>
    <x v="6"/>
    <x v="8"/>
    <x v="18"/>
    <x v="3"/>
    <x v="0"/>
    <x v="0"/>
    <n v="4"/>
    <n v="4"/>
    <n v="0"/>
    <n v="3.6"/>
    <x v="6"/>
  </r>
  <r>
    <x v="1"/>
    <x v="6"/>
    <x v="7"/>
    <x v="4"/>
    <x v="3"/>
    <x v="0"/>
    <n v="3"/>
    <n v="3"/>
    <n v="0"/>
    <n v="1.3"/>
    <x v="1"/>
  </r>
  <r>
    <x v="8"/>
    <x v="9"/>
    <x v="17"/>
    <x v="0"/>
    <x v="5"/>
    <x v="1"/>
    <n v="5"/>
    <n v="5"/>
    <n v="1"/>
    <n v="3.1"/>
    <x v="8"/>
  </r>
  <r>
    <x v="5"/>
    <x v="4"/>
    <x v="11"/>
    <x v="1"/>
    <x v="4"/>
    <x v="1"/>
    <n v="0"/>
    <n v="0"/>
    <n v="0"/>
    <n v="3"/>
    <x v="5"/>
  </r>
  <r>
    <x v="9"/>
    <x v="1"/>
    <x v="16"/>
    <x v="5"/>
    <x v="2"/>
    <x v="1"/>
    <n v="1"/>
    <n v="1"/>
    <n v="0"/>
    <n v="3.6"/>
    <x v="9"/>
  </r>
  <r>
    <x v="2"/>
    <x v="0"/>
    <x v="12"/>
    <x v="1"/>
    <x v="2"/>
    <x v="1"/>
    <n v="6"/>
    <n v="4"/>
    <n v="1"/>
    <n v="5.5"/>
    <x v="2"/>
  </r>
  <r>
    <x v="3"/>
    <x v="7"/>
    <x v="9"/>
    <x v="3"/>
    <x v="3"/>
    <x v="1"/>
    <n v="8"/>
    <n v="8"/>
    <n v="0"/>
    <n v="3"/>
    <x v="3"/>
  </r>
  <r>
    <x v="7"/>
    <x v="7"/>
    <x v="9"/>
    <x v="0"/>
    <x v="1"/>
    <x v="1"/>
    <n v="7"/>
    <n v="7"/>
    <n v="0"/>
    <n v="3.2"/>
    <x v="7"/>
  </r>
  <r>
    <x v="4"/>
    <x v="5"/>
    <x v="6"/>
    <x v="1"/>
    <x v="2"/>
    <x v="0"/>
    <n v="8"/>
    <n v="8"/>
    <n v="0"/>
    <n v="5.2"/>
    <x v="4"/>
  </r>
  <r>
    <x v="11"/>
    <x v="5"/>
    <x v="5"/>
    <x v="4"/>
    <x v="5"/>
    <x v="1"/>
    <n v="7"/>
    <n v="5"/>
    <n v="2"/>
    <n v="1.1000000000000001"/>
    <x v="11"/>
  </r>
  <r>
    <x v="1"/>
    <x v="5"/>
    <x v="6"/>
    <x v="0"/>
    <x v="5"/>
    <x v="0"/>
    <n v="4"/>
    <n v="4"/>
    <n v="0"/>
    <n v="2.4"/>
    <x v="1"/>
  </r>
  <r>
    <x v="4"/>
    <x v="9"/>
    <x v="17"/>
    <x v="1"/>
    <x v="2"/>
    <x v="0"/>
    <n v="4"/>
    <n v="4"/>
    <n v="1"/>
    <n v="1.7"/>
    <x v="4"/>
  </r>
  <r>
    <x v="0"/>
    <x v="7"/>
    <x v="9"/>
    <x v="5"/>
    <x v="3"/>
    <x v="0"/>
    <n v="6"/>
    <n v="5"/>
    <n v="0"/>
    <n v="0.9"/>
    <x v="0"/>
  </r>
  <r>
    <x v="2"/>
    <x v="8"/>
    <x v="18"/>
    <x v="2"/>
    <x v="2"/>
    <x v="1"/>
    <n v="4"/>
    <n v="3"/>
    <n v="0"/>
    <n v="2.6"/>
    <x v="2"/>
  </r>
  <r>
    <x v="11"/>
    <x v="6"/>
    <x v="7"/>
    <x v="2"/>
    <x v="3"/>
    <x v="1"/>
    <n v="3"/>
    <n v="3"/>
    <n v="0"/>
    <n v="2.7"/>
    <x v="11"/>
  </r>
  <r>
    <x v="4"/>
    <x v="8"/>
    <x v="10"/>
    <x v="0"/>
    <x v="3"/>
    <x v="1"/>
    <n v="3"/>
    <n v="3"/>
    <n v="0"/>
    <n v="2.4"/>
    <x v="4"/>
  </r>
  <r>
    <x v="4"/>
    <x v="8"/>
    <x v="18"/>
    <x v="5"/>
    <x v="2"/>
    <x v="0"/>
    <n v="5"/>
    <n v="5"/>
    <n v="0"/>
    <n v="1.8"/>
    <x v="4"/>
  </r>
  <r>
    <x v="8"/>
    <x v="4"/>
    <x v="4"/>
    <x v="5"/>
    <x v="0"/>
    <x v="0"/>
    <n v="7"/>
    <n v="6"/>
    <n v="0"/>
    <n v="1.3"/>
    <x v="8"/>
  </r>
  <r>
    <x v="8"/>
    <x v="5"/>
    <x v="5"/>
    <x v="1"/>
    <x v="0"/>
    <x v="1"/>
    <n v="9"/>
    <n v="8"/>
    <n v="0"/>
    <n v="2.1"/>
    <x v="8"/>
  </r>
  <r>
    <x v="1"/>
    <x v="4"/>
    <x v="4"/>
    <x v="0"/>
    <x v="0"/>
    <x v="1"/>
    <n v="6"/>
    <n v="5"/>
    <n v="1"/>
    <n v="4.9000000000000004"/>
    <x v="1"/>
  </r>
  <r>
    <x v="11"/>
    <x v="0"/>
    <x v="0"/>
    <x v="5"/>
    <x v="3"/>
    <x v="0"/>
    <n v="2"/>
    <n v="2"/>
    <n v="0"/>
    <n v="4"/>
    <x v="11"/>
  </r>
  <r>
    <x v="0"/>
    <x v="9"/>
    <x v="17"/>
    <x v="1"/>
    <x v="1"/>
    <x v="0"/>
    <n v="4"/>
    <n v="4"/>
    <n v="1"/>
    <n v="3.4"/>
    <x v="0"/>
  </r>
  <r>
    <x v="1"/>
    <x v="7"/>
    <x v="13"/>
    <x v="0"/>
    <x v="1"/>
    <x v="1"/>
    <n v="4"/>
    <n v="4"/>
    <n v="1"/>
    <n v="3.7"/>
    <x v="1"/>
  </r>
  <r>
    <x v="5"/>
    <x v="9"/>
    <x v="14"/>
    <x v="2"/>
    <x v="3"/>
    <x v="1"/>
    <n v="4"/>
    <n v="4"/>
    <n v="0"/>
    <n v="1.3"/>
    <x v="5"/>
  </r>
  <r>
    <x v="8"/>
    <x v="1"/>
    <x v="1"/>
    <x v="0"/>
    <x v="4"/>
    <x v="1"/>
    <n v="4"/>
    <n v="4"/>
    <n v="0"/>
    <n v="2.5"/>
    <x v="8"/>
  </r>
  <r>
    <x v="8"/>
    <x v="6"/>
    <x v="8"/>
    <x v="2"/>
    <x v="1"/>
    <x v="0"/>
    <n v="8"/>
    <n v="8"/>
    <n v="0"/>
    <n v="2.4"/>
    <x v="8"/>
  </r>
  <r>
    <x v="7"/>
    <x v="7"/>
    <x v="9"/>
    <x v="1"/>
    <x v="4"/>
    <x v="0"/>
    <n v="6"/>
    <n v="5"/>
    <n v="0"/>
    <n v="2.6"/>
    <x v="7"/>
  </r>
  <r>
    <x v="9"/>
    <x v="7"/>
    <x v="13"/>
    <x v="5"/>
    <x v="2"/>
    <x v="1"/>
    <n v="6"/>
    <n v="5"/>
    <n v="0"/>
    <n v="3.5"/>
    <x v="9"/>
  </r>
  <r>
    <x v="5"/>
    <x v="7"/>
    <x v="9"/>
    <x v="2"/>
    <x v="3"/>
    <x v="1"/>
    <n v="6"/>
    <n v="6"/>
    <n v="1"/>
    <n v="4.0999999999999996"/>
    <x v="5"/>
  </r>
  <r>
    <x v="3"/>
    <x v="8"/>
    <x v="18"/>
    <x v="4"/>
    <x v="0"/>
    <x v="0"/>
    <n v="4"/>
    <n v="3"/>
    <n v="0"/>
    <n v="3.3"/>
    <x v="3"/>
  </r>
  <r>
    <x v="10"/>
    <x v="1"/>
    <x v="16"/>
    <x v="3"/>
    <x v="4"/>
    <x v="1"/>
    <n v="4"/>
    <n v="3"/>
    <n v="0"/>
    <n v="1.1000000000000001"/>
    <x v="10"/>
  </r>
  <r>
    <x v="3"/>
    <x v="6"/>
    <x v="7"/>
    <x v="0"/>
    <x v="5"/>
    <x v="1"/>
    <n v="4"/>
    <n v="4"/>
    <n v="0"/>
    <n v="1.2"/>
    <x v="3"/>
  </r>
  <r>
    <x v="5"/>
    <x v="6"/>
    <x v="8"/>
    <x v="0"/>
    <x v="3"/>
    <x v="0"/>
    <n v="4"/>
    <n v="3"/>
    <n v="1"/>
    <n v="0.8"/>
    <x v="5"/>
  </r>
  <r>
    <x v="3"/>
    <x v="7"/>
    <x v="13"/>
    <x v="0"/>
    <x v="4"/>
    <x v="1"/>
    <n v="3"/>
    <n v="2"/>
    <n v="0"/>
    <n v="2.8"/>
    <x v="3"/>
  </r>
  <r>
    <x v="7"/>
    <x v="5"/>
    <x v="6"/>
    <x v="3"/>
    <x v="4"/>
    <x v="1"/>
    <n v="5"/>
    <n v="5"/>
    <n v="0"/>
    <n v="4.2"/>
    <x v="7"/>
  </r>
  <r>
    <x v="11"/>
    <x v="4"/>
    <x v="4"/>
    <x v="1"/>
    <x v="0"/>
    <x v="1"/>
    <n v="3"/>
    <n v="3"/>
    <n v="0"/>
    <n v="2.5"/>
    <x v="11"/>
  </r>
  <r>
    <x v="1"/>
    <x v="8"/>
    <x v="18"/>
    <x v="3"/>
    <x v="3"/>
    <x v="1"/>
    <n v="3"/>
    <n v="2"/>
    <n v="0"/>
    <n v="4"/>
    <x v="1"/>
  </r>
  <r>
    <x v="5"/>
    <x v="6"/>
    <x v="8"/>
    <x v="0"/>
    <x v="5"/>
    <x v="1"/>
    <n v="5"/>
    <n v="5"/>
    <n v="0"/>
    <n v="1.9"/>
    <x v="5"/>
  </r>
  <r>
    <x v="6"/>
    <x v="8"/>
    <x v="10"/>
    <x v="1"/>
    <x v="4"/>
    <x v="1"/>
    <n v="7"/>
    <n v="6"/>
    <n v="1"/>
    <n v="3.5"/>
    <x v="6"/>
  </r>
  <r>
    <x v="5"/>
    <x v="4"/>
    <x v="11"/>
    <x v="4"/>
    <x v="3"/>
    <x v="1"/>
    <n v="4"/>
    <n v="4"/>
    <n v="0"/>
    <n v="2.2000000000000002"/>
    <x v="5"/>
  </r>
  <r>
    <x v="1"/>
    <x v="7"/>
    <x v="9"/>
    <x v="2"/>
    <x v="4"/>
    <x v="0"/>
    <n v="4"/>
    <n v="3"/>
    <n v="0"/>
    <n v="3.6"/>
    <x v="1"/>
  </r>
  <r>
    <x v="9"/>
    <x v="1"/>
    <x v="16"/>
    <x v="3"/>
    <x v="1"/>
    <x v="0"/>
    <n v="4"/>
    <n v="3"/>
    <n v="0"/>
    <n v="2.2000000000000002"/>
    <x v="9"/>
  </r>
  <r>
    <x v="10"/>
    <x v="8"/>
    <x v="10"/>
    <x v="3"/>
    <x v="0"/>
    <x v="1"/>
    <n v="5"/>
    <n v="5"/>
    <n v="0"/>
    <n v="4.0999999999999996"/>
    <x v="10"/>
  </r>
  <r>
    <x v="10"/>
    <x v="1"/>
    <x v="1"/>
    <x v="4"/>
    <x v="0"/>
    <x v="1"/>
    <n v="6"/>
    <n v="4"/>
    <n v="0"/>
    <n v="3.2"/>
    <x v="10"/>
  </r>
  <r>
    <x v="6"/>
    <x v="2"/>
    <x v="2"/>
    <x v="4"/>
    <x v="3"/>
    <x v="1"/>
    <n v="3"/>
    <n v="3"/>
    <n v="0"/>
    <n v="3.4"/>
    <x v="6"/>
  </r>
  <r>
    <x v="1"/>
    <x v="7"/>
    <x v="9"/>
    <x v="2"/>
    <x v="1"/>
    <x v="1"/>
    <n v="3"/>
    <n v="3"/>
    <n v="0"/>
    <n v="4.3"/>
    <x v="1"/>
  </r>
  <r>
    <x v="1"/>
    <x v="2"/>
    <x v="2"/>
    <x v="1"/>
    <x v="1"/>
    <x v="0"/>
    <n v="5"/>
    <n v="5"/>
    <n v="1"/>
    <n v="1.7"/>
    <x v="1"/>
  </r>
  <r>
    <x v="10"/>
    <x v="0"/>
    <x v="12"/>
    <x v="3"/>
    <x v="0"/>
    <x v="0"/>
    <n v="9"/>
    <n v="7"/>
    <n v="0"/>
    <n v="3.1"/>
    <x v="10"/>
  </r>
  <r>
    <x v="8"/>
    <x v="7"/>
    <x v="13"/>
    <x v="1"/>
    <x v="3"/>
    <x v="0"/>
    <n v="8"/>
    <n v="6"/>
    <n v="1"/>
    <n v="3.1"/>
    <x v="8"/>
  </r>
  <r>
    <x v="2"/>
    <x v="6"/>
    <x v="8"/>
    <x v="2"/>
    <x v="2"/>
    <x v="1"/>
    <n v="2"/>
    <n v="1"/>
    <n v="0"/>
    <n v="2"/>
    <x v="2"/>
  </r>
  <r>
    <x v="9"/>
    <x v="8"/>
    <x v="10"/>
    <x v="5"/>
    <x v="4"/>
    <x v="1"/>
    <n v="3"/>
    <n v="3"/>
    <n v="0"/>
    <n v="3.9"/>
    <x v="9"/>
  </r>
  <r>
    <x v="8"/>
    <x v="2"/>
    <x v="2"/>
    <x v="5"/>
    <x v="1"/>
    <x v="1"/>
    <n v="4"/>
    <n v="4"/>
    <n v="1"/>
    <n v="3.8"/>
    <x v="8"/>
  </r>
  <r>
    <x v="10"/>
    <x v="4"/>
    <x v="4"/>
    <x v="3"/>
    <x v="1"/>
    <x v="1"/>
    <n v="8"/>
    <n v="5"/>
    <n v="2"/>
    <n v="2.4"/>
    <x v="10"/>
  </r>
  <r>
    <x v="3"/>
    <x v="0"/>
    <x v="0"/>
    <x v="1"/>
    <x v="3"/>
    <x v="1"/>
    <n v="2"/>
    <n v="2"/>
    <n v="0"/>
    <n v="2.2999999999999998"/>
    <x v="3"/>
  </r>
  <r>
    <x v="10"/>
    <x v="6"/>
    <x v="8"/>
    <x v="4"/>
    <x v="4"/>
    <x v="0"/>
    <n v="7"/>
    <n v="7"/>
    <n v="0"/>
    <n v="2.8"/>
    <x v="10"/>
  </r>
  <r>
    <x v="7"/>
    <x v="2"/>
    <x v="19"/>
    <x v="5"/>
    <x v="0"/>
    <x v="1"/>
    <n v="7"/>
    <n v="7"/>
    <n v="0"/>
    <n v="2.4"/>
    <x v="7"/>
  </r>
  <r>
    <x v="0"/>
    <x v="9"/>
    <x v="14"/>
    <x v="2"/>
    <x v="1"/>
    <x v="1"/>
    <n v="9"/>
    <n v="8"/>
    <n v="0"/>
    <n v="3.2"/>
    <x v="0"/>
  </r>
  <r>
    <x v="6"/>
    <x v="8"/>
    <x v="18"/>
    <x v="4"/>
    <x v="2"/>
    <x v="1"/>
    <n v="2"/>
    <n v="2"/>
    <n v="0"/>
    <n v="2.2999999999999998"/>
    <x v="6"/>
  </r>
  <r>
    <x v="4"/>
    <x v="0"/>
    <x v="12"/>
    <x v="3"/>
    <x v="3"/>
    <x v="1"/>
    <n v="7"/>
    <n v="6"/>
    <n v="0"/>
    <n v="2.2999999999999998"/>
    <x v="4"/>
  </r>
  <r>
    <x v="3"/>
    <x v="9"/>
    <x v="17"/>
    <x v="4"/>
    <x v="5"/>
    <x v="0"/>
    <n v="1"/>
    <n v="1"/>
    <n v="0"/>
    <n v="2.8"/>
    <x v="3"/>
  </r>
  <r>
    <x v="4"/>
    <x v="1"/>
    <x v="1"/>
    <x v="5"/>
    <x v="3"/>
    <x v="0"/>
    <n v="7"/>
    <n v="7"/>
    <n v="0"/>
    <n v="3"/>
    <x v="4"/>
  </r>
  <r>
    <x v="1"/>
    <x v="4"/>
    <x v="4"/>
    <x v="1"/>
    <x v="1"/>
    <x v="1"/>
    <n v="7"/>
    <n v="6"/>
    <n v="0"/>
    <n v="3"/>
    <x v="1"/>
  </r>
  <r>
    <x v="2"/>
    <x v="5"/>
    <x v="5"/>
    <x v="2"/>
    <x v="5"/>
    <x v="1"/>
    <n v="8"/>
    <n v="7"/>
    <n v="0"/>
    <n v="3.2"/>
    <x v="2"/>
  </r>
  <r>
    <x v="6"/>
    <x v="8"/>
    <x v="10"/>
    <x v="0"/>
    <x v="5"/>
    <x v="0"/>
    <n v="7"/>
    <n v="7"/>
    <n v="0"/>
    <n v="4.5"/>
    <x v="6"/>
  </r>
  <r>
    <x v="7"/>
    <x v="0"/>
    <x v="12"/>
    <x v="1"/>
    <x v="2"/>
    <x v="1"/>
    <n v="5"/>
    <n v="5"/>
    <n v="0"/>
    <n v="2.7"/>
    <x v="7"/>
  </r>
  <r>
    <x v="3"/>
    <x v="9"/>
    <x v="17"/>
    <x v="4"/>
    <x v="1"/>
    <x v="0"/>
    <n v="6"/>
    <n v="5"/>
    <n v="0"/>
    <n v="3.9"/>
    <x v="3"/>
  </r>
  <r>
    <x v="10"/>
    <x v="4"/>
    <x v="4"/>
    <x v="1"/>
    <x v="2"/>
    <x v="1"/>
    <n v="5"/>
    <n v="3"/>
    <n v="0"/>
    <n v="3.7"/>
    <x v="10"/>
  </r>
  <r>
    <x v="0"/>
    <x v="0"/>
    <x v="0"/>
    <x v="5"/>
    <x v="3"/>
    <x v="1"/>
    <n v="5"/>
    <n v="5"/>
    <n v="0"/>
    <n v="1.7"/>
    <x v="0"/>
  </r>
  <r>
    <x v="2"/>
    <x v="1"/>
    <x v="1"/>
    <x v="4"/>
    <x v="4"/>
    <x v="1"/>
    <n v="1"/>
    <n v="1"/>
    <n v="0"/>
    <n v="1.8"/>
    <x v="2"/>
  </r>
  <r>
    <x v="8"/>
    <x v="5"/>
    <x v="6"/>
    <x v="3"/>
    <x v="2"/>
    <x v="1"/>
    <n v="3"/>
    <n v="3"/>
    <n v="0"/>
    <n v="4.3"/>
    <x v="8"/>
  </r>
  <r>
    <x v="7"/>
    <x v="7"/>
    <x v="9"/>
    <x v="5"/>
    <x v="4"/>
    <x v="0"/>
    <n v="8"/>
    <n v="6"/>
    <n v="1"/>
    <n v="2.4"/>
    <x v="7"/>
  </r>
  <r>
    <x v="11"/>
    <x v="3"/>
    <x v="15"/>
    <x v="2"/>
    <x v="1"/>
    <x v="0"/>
    <n v="6"/>
    <n v="6"/>
    <n v="0"/>
    <n v="4.9000000000000004"/>
    <x v="11"/>
  </r>
  <r>
    <x v="11"/>
    <x v="9"/>
    <x v="14"/>
    <x v="4"/>
    <x v="4"/>
    <x v="1"/>
    <n v="2"/>
    <n v="2"/>
    <n v="0"/>
    <n v="4"/>
    <x v="11"/>
  </r>
  <r>
    <x v="4"/>
    <x v="8"/>
    <x v="18"/>
    <x v="4"/>
    <x v="1"/>
    <x v="1"/>
    <n v="4"/>
    <n v="4"/>
    <n v="0"/>
    <n v="2.2000000000000002"/>
    <x v="4"/>
  </r>
  <r>
    <x v="7"/>
    <x v="3"/>
    <x v="15"/>
    <x v="2"/>
    <x v="2"/>
    <x v="0"/>
    <n v="6"/>
    <n v="5"/>
    <n v="0"/>
    <n v="3"/>
    <x v="7"/>
  </r>
  <r>
    <x v="5"/>
    <x v="1"/>
    <x v="1"/>
    <x v="2"/>
    <x v="3"/>
    <x v="0"/>
    <n v="3"/>
    <n v="3"/>
    <n v="0"/>
    <n v="3.5"/>
    <x v="5"/>
  </r>
  <r>
    <x v="10"/>
    <x v="1"/>
    <x v="1"/>
    <x v="3"/>
    <x v="5"/>
    <x v="0"/>
    <n v="6"/>
    <n v="6"/>
    <n v="0"/>
    <n v="3.5"/>
    <x v="10"/>
  </r>
  <r>
    <x v="4"/>
    <x v="5"/>
    <x v="5"/>
    <x v="2"/>
    <x v="4"/>
    <x v="1"/>
    <n v="3"/>
    <n v="3"/>
    <n v="1"/>
    <n v="3.4"/>
    <x v="4"/>
  </r>
  <r>
    <x v="10"/>
    <x v="8"/>
    <x v="10"/>
    <x v="2"/>
    <x v="1"/>
    <x v="1"/>
    <n v="4"/>
    <n v="4"/>
    <n v="0"/>
    <n v="2.2999999999999998"/>
    <x v="10"/>
  </r>
  <r>
    <x v="9"/>
    <x v="3"/>
    <x v="15"/>
    <x v="1"/>
    <x v="4"/>
    <x v="1"/>
    <n v="5"/>
    <n v="5"/>
    <n v="0"/>
    <n v="4"/>
    <x v="9"/>
  </r>
  <r>
    <x v="8"/>
    <x v="7"/>
    <x v="13"/>
    <x v="5"/>
    <x v="3"/>
    <x v="1"/>
    <n v="7"/>
    <n v="6"/>
    <n v="0"/>
    <n v="3.8"/>
    <x v="8"/>
  </r>
  <r>
    <x v="8"/>
    <x v="0"/>
    <x v="12"/>
    <x v="4"/>
    <x v="4"/>
    <x v="0"/>
    <n v="7"/>
    <n v="7"/>
    <n v="1"/>
    <n v="0.9"/>
    <x v="8"/>
  </r>
  <r>
    <x v="8"/>
    <x v="9"/>
    <x v="14"/>
    <x v="5"/>
    <x v="4"/>
    <x v="1"/>
    <n v="4"/>
    <n v="4"/>
    <n v="0"/>
    <n v="2.8"/>
    <x v="8"/>
  </r>
  <r>
    <x v="1"/>
    <x v="2"/>
    <x v="19"/>
    <x v="3"/>
    <x v="0"/>
    <x v="0"/>
    <n v="2"/>
    <n v="2"/>
    <n v="0"/>
    <n v="3.5"/>
    <x v="1"/>
  </r>
  <r>
    <x v="6"/>
    <x v="4"/>
    <x v="4"/>
    <x v="5"/>
    <x v="0"/>
    <x v="1"/>
    <n v="5"/>
    <n v="4"/>
    <n v="0"/>
    <n v="2.9"/>
    <x v="6"/>
  </r>
  <r>
    <x v="8"/>
    <x v="6"/>
    <x v="8"/>
    <x v="4"/>
    <x v="3"/>
    <x v="0"/>
    <n v="6"/>
    <n v="5"/>
    <n v="0"/>
    <n v="2.7"/>
    <x v="8"/>
  </r>
  <r>
    <x v="8"/>
    <x v="2"/>
    <x v="2"/>
    <x v="4"/>
    <x v="4"/>
    <x v="0"/>
    <n v="4"/>
    <n v="4"/>
    <n v="0"/>
    <n v="3.9"/>
    <x v="8"/>
  </r>
  <r>
    <x v="0"/>
    <x v="2"/>
    <x v="19"/>
    <x v="5"/>
    <x v="2"/>
    <x v="0"/>
    <n v="7"/>
    <n v="6"/>
    <n v="2"/>
    <n v="3.9"/>
    <x v="0"/>
  </r>
  <r>
    <x v="10"/>
    <x v="2"/>
    <x v="19"/>
    <x v="3"/>
    <x v="1"/>
    <x v="0"/>
    <n v="1"/>
    <n v="1"/>
    <n v="1"/>
    <n v="1.8"/>
    <x v="10"/>
  </r>
  <r>
    <x v="7"/>
    <x v="6"/>
    <x v="8"/>
    <x v="3"/>
    <x v="0"/>
    <x v="1"/>
    <n v="5"/>
    <n v="5"/>
    <n v="0"/>
    <n v="2.2000000000000002"/>
    <x v="7"/>
  </r>
  <r>
    <x v="0"/>
    <x v="7"/>
    <x v="13"/>
    <x v="1"/>
    <x v="0"/>
    <x v="1"/>
    <n v="1"/>
    <n v="1"/>
    <n v="0"/>
    <n v="3.1"/>
    <x v="0"/>
  </r>
  <r>
    <x v="4"/>
    <x v="5"/>
    <x v="5"/>
    <x v="0"/>
    <x v="2"/>
    <x v="0"/>
    <n v="6"/>
    <n v="6"/>
    <n v="0"/>
    <n v="5.3"/>
    <x v="4"/>
  </r>
  <r>
    <x v="5"/>
    <x v="2"/>
    <x v="19"/>
    <x v="2"/>
    <x v="1"/>
    <x v="0"/>
    <n v="4"/>
    <n v="4"/>
    <n v="0"/>
    <n v="2.8"/>
    <x v="5"/>
  </r>
  <r>
    <x v="9"/>
    <x v="7"/>
    <x v="13"/>
    <x v="4"/>
    <x v="4"/>
    <x v="1"/>
    <n v="5"/>
    <n v="5"/>
    <n v="0"/>
    <n v="2.9"/>
    <x v="9"/>
  </r>
  <r>
    <x v="10"/>
    <x v="8"/>
    <x v="10"/>
    <x v="4"/>
    <x v="3"/>
    <x v="0"/>
    <n v="3"/>
    <n v="3"/>
    <n v="0"/>
    <n v="1.3"/>
    <x v="10"/>
  </r>
  <r>
    <x v="1"/>
    <x v="2"/>
    <x v="19"/>
    <x v="1"/>
    <x v="3"/>
    <x v="0"/>
    <n v="5"/>
    <n v="5"/>
    <n v="0"/>
    <n v="1.7"/>
    <x v="1"/>
  </r>
  <r>
    <x v="10"/>
    <x v="0"/>
    <x v="0"/>
    <x v="2"/>
    <x v="4"/>
    <x v="0"/>
    <n v="2"/>
    <n v="2"/>
    <n v="0"/>
    <n v="3.4"/>
    <x v="10"/>
  </r>
  <r>
    <x v="10"/>
    <x v="6"/>
    <x v="7"/>
    <x v="4"/>
    <x v="4"/>
    <x v="1"/>
    <n v="2"/>
    <n v="2"/>
    <n v="0"/>
    <n v="2.1"/>
    <x v="10"/>
  </r>
  <r>
    <x v="5"/>
    <x v="9"/>
    <x v="14"/>
    <x v="4"/>
    <x v="3"/>
    <x v="1"/>
    <n v="3"/>
    <n v="3"/>
    <n v="0"/>
    <n v="3.5"/>
    <x v="5"/>
  </r>
  <r>
    <x v="2"/>
    <x v="5"/>
    <x v="6"/>
    <x v="0"/>
    <x v="2"/>
    <x v="0"/>
    <n v="5"/>
    <n v="5"/>
    <n v="0"/>
    <n v="1.9"/>
    <x v="2"/>
  </r>
  <r>
    <x v="0"/>
    <x v="9"/>
    <x v="17"/>
    <x v="5"/>
    <x v="5"/>
    <x v="0"/>
    <n v="5"/>
    <n v="5"/>
    <n v="0"/>
    <n v="3"/>
    <x v="0"/>
  </r>
  <r>
    <x v="7"/>
    <x v="8"/>
    <x v="10"/>
    <x v="5"/>
    <x v="3"/>
    <x v="1"/>
    <n v="4"/>
    <n v="4"/>
    <n v="0"/>
    <n v="4.3"/>
    <x v="7"/>
  </r>
  <r>
    <x v="11"/>
    <x v="1"/>
    <x v="1"/>
    <x v="0"/>
    <x v="1"/>
    <x v="0"/>
    <n v="10"/>
    <n v="9"/>
    <n v="1"/>
    <n v="1.1000000000000001"/>
    <x v="11"/>
  </r>
  <r>
    <x v="0"/>
    <x v="7"/>
    <x v="13"/>
    <x v="5"/>
    <x v="0"/>
    <x v="1"/>
    <n v="5"/>
    <n v="5"/>
    <n v="0"/>
    <n v="4.0999999999999996"/>
    <x v="0"/>
  </r>
  <r>
    <x v="10"/>
    <x v="4"/>
    <x v="11"/>
    <x v="5"/>
    <x v="2"/>
    <x v="0"/>
    <n v="6"/>
    <n v="4"/>
    <n v="1"/>
    <n v="0.8"/>
    <x v="10"/>
  </r>
  <r>
    <x v="0"/>
    <x v="2"/>
    <x v="2"/>
    <x v="3"/>
    <x v="5"/>
    <x v="1"/>
    <n v="5"/>
    <n v="3"/>
    <n v="0"/>
    <n v="5.2"/>
    <x v="0"/>
  </r>
  <r>
    <x v="8"/>
    <x v="0"/>
    <x v="0"/>
    <x v="1"/>
    <x v="2"/>
    <x v="0"/>
    <n v="6"/>
    <n v="5"/>
    <n v="0"/>
    <n v="4.2"/>
    <x v="8"/>
  </r>
  <r>
    <x v="5"/>
    <x v="5"/>
    <x v="6"/>
    <x v="0"/>
    <x v="4"/>
    <x v="0"/>
    <n v="6"/>
    <n v="6"/>
    <n v="1"/>
    <n v="3.8"/>
    <x v="5"/>
  </r>
  <r>
    <x v="1"/>
    <x v="8"/>
    <x v="18"/>
    <x v="4"/>
    <x v="0"/>
    <x v="1"/>
    <n v="4"/>
    <n v="3"/>
    <n v="0"/>
    <n v="2.6"/>
    <x v="1"/>
  </r>
  <r>
    <x v="2"/>
    <x v="2"/>
    <x v="19"/>
    <x v="4"/>
    <x v="4"/>
    <x v="1"/>
    <n v="6"/>
    <n v="5"/>
    <n v="0"/>
    <n v="5"/>
    <x v="2"/>
  </r>
  <r>
    <x v="7"/>
    <x v="5"/>
    <x v="5"/>
    <x v="5"/>
    <x v="4"/>
    <x v="1"/>
    <n v="6"/>
    <n v="5"/>
    <n v="0"/>
    <n v="3.3"/>
    <x v="7"/>
  </r>
  <r>
    <x v="4"/>
    <x v="9"/>
    <x v="17"/>
    <x v="5"/>
    <x v="4"/>
    <x v="0"/>
    <n v="3"/>
    <n v="2"/>
    <n v="0"/>
    <n v="2.2999999999999998"/>
    <x v="4"/>
  </r>
  <r>
    <x v="2"/>
    <x v="0"/>
    <x v="0"/>
    <x v="1"/>
    <x v="2"/>
    <x v="0"/>
    <n v="4"/>
    <n v="3"/>
    <n v="0"/>
    <n v="3"/>
    <x v="2"/>
  </r>
  <r>
    <x v="5"/>
    <x v="5"/>
    <x v="5"/>
    <x v="1"/>
    <x v="4"/>
    <x v="1"/>
    <n v="3"/>
    <n v="3"/>
    <n v="0"/>
    <n v="2.7"/>
    <x v="5"/>
  </r>
  <r>
    <x v="5"/>
    <x v="7"/>
    <x v="13"/>
    <x v="2"/>
    <x v="5"/>
    <x v="0"/>
    <n v="5"/>
    <n v="5"/>
    <n v="0"/>
    <n v="4.2"/>
    <x v="5"/>
  </r>
  <r>
    <x v="5"/>
    <x v="4"/>
    <x v="4"/>
    <x v="0"/>
    <x v="0"/>
    <x v="0"/>
    <n v="7"/>
    <n v="7"/>
    <n v="0"/>
    <n v="0.5"/>
    <x v="5"/>
  </r>
  <r>
    <x v="7"/>
    <x v="8"/>
    <x v="10"/>
    <x v="5"/>
    <x v="4"/>
    <x v="1"/>
    <n v="6"/>
    <n v="4"/>
    <n v="1"/>
    <n v="1.3"/>
    <x v="7"/>
  </r>
  <r>
    <x v="5"/>
    <x v="4"/>
    <x v="4"/>
    <x v="3"/>
    <x v="4"/>
    <x v="1"/>
    <n v="2"/>
    <n v="1"/>
    <n v="1"/>
    <n v="3.2"/>
    <x v="5"/>
  </r>
  <r>
    <x v="6"/>
    <x v="8"/>
    <x v="10"/>
    <x v="0"/>
    <x v="5"/>
    <x v="1"/>
    <n v="2"/>
    <n v="2"/>
    <n v="0"/>
    <n v="3.9"/>
    <x v="6"/>
  </r>
  <r>
    <x v="0"/>
    <x v="4"/>
    <x v="11"/>
    <x v="4"/>
    <x v="0"/>
    <x v="0"/>
    <n v="4"/>
    <n v="4"/>
    <n v="0"/>
    <n v="3"/>
    <x v="0"/>
  </r>
  <r>
    <x v="0"/>
    <x v="9"/>
    <x v="17"/>
    <x v="0"/>
    <x v="5"/>
    <x v="0"/>
    <n v="7"/>
    <n v="5"/>
    <n v="0"/>
    <n v="1.2"/>
    <x v="0"/>
  </r>
  <r>
    <x v="7"/>
    <x v="5"/>
    <x v="6"/>
    <x v="0"/>
    <x v="1"/>
    <x v="1"/>
    <n v="4"/>
    <n v="3"/>
    <n v="0"/>
    <n v="2.7"/>
    <x v="7"/>
  </r>
  <r>
    <x v="11"/>
    <x v="8"/>
    <x v="10"/>
    <x v="3"/>
    <x v="4"/>
    <x v="1"/>
    <n v="6"/>
    <n v="6"/>
    <n v="0"/>
    <n v="1.7"/>
    <x v="11"/>
  </r>
  <r>
    <x v="8"/>
    <x v="7"/>
    <x v="13"/>
    <x v="0"/>
    <x v="3"/>
    <x v="0"/>
    <n v="8"/>
    <n v="7"/>
    <n v="0"/>
    <n v="2"/>
    <x v="8"/>
  </r>
  <r>
    <x v="0"/>
    <x v="8"/>
    <x v="18"/>
    <x v="0"/>
    <x v="1"/>
    <x v="0"/>
    <n v="3"/>
    <n v="3"/>
    <n v="0"/>
    <n v="3.1"/>
    <x v="0"/>
  </r>
  <r>
    <x v="3"/>
    <x v="5"/>
    <x v="5"/>
    <x v="4"/>
    <x v="0"/>
    <x v="1"/>
    <n v="5"/>
    <n v="4"/>
    <n v="2"/>
    <n v="1.2"/>
    <x v="3"/>
  </r>
  <r>
    <x v="0"/>
    <x v="3"/>
    <x v="15"/>
    <x v="2"/>
    <x v="3"/>
    <x v="0"/>
    <n v="4"/>
    <n v="4"/>
    <n v="0"/>
    <n v="2.2999999999999998"/>
    <x v="0"/>
  </r>
  <r>
    <x v="8"/>
    <x v="5"/>
    <x v="6"/>
    <x v="1"/>
    <x v="1"/>
    <x v="1"/>
    <n v="5"/>
    <n v="5"/>
    <n v="1"/>
    <n v="3.7"/>
    <x v="8"/>
  </r>
  <r>
    <x v="10"/>
    <x v="5"/>
    <x v="5"/>
    <x v="5"/>
    <x v="3"/>
    <x v="0"/>
    <n v="8"/>
    <n v="7"/>
    <n v="0"/>
    <n v="4.2"/>
    <x v="10"/>
  </r>
  <r>
    <x v="11"/>
    <x v="9"/>
    <x v="14"/>
    <x v="5"/>
    <x v="5"/>
    <x v="0"/>
    <n v="1"/>
    <n v="1"/>
    <n v="0"/>
    <n v="2.9"/>
    <x v="11"/>
  </r>
  <r>
    <x v="7"/>
    <x v="4"/>
    <x v="4"/>
    <x v="2"/>
    <x v="5"/>
    <x v="1"/>
    <n v="5"/>
    <n v="3"/>
    <n v="0"/>
    <n v="3.5"/>
    <x v="7"/>
  </r>
  <r>
    <x v="11"/>
    <x v="0"/>
    <x v="12"/>
    <x v="1"/>
    <x v="0"/>
    <x v="0"/>
    <n v="2"/>
    <n v="2"/>
    <n v="0"/>
    <n v="2.9"/>
    <x v="11"/>
  </r>
  <r>
    <x v="3"/>
    <x v="1"/>
    <x v="16"/>
    <x v="1"/>
    <x v="0"/>
    <x v="1"/>
    <n v="1"/>
    <n v="1"/>
    <n v="0"/>
    <n v="2.2000000000000002"/>
    <x v="3"/>
  </r>
  <r>
    <x v="11"/>
    <x v="0"/>
    <x v="12"/>
    <x v="3"/>
    <x v="5"/>
    <x v="0"/>
    <n v="8"/>
    <n v="6"/>
    <n v="1"/>
    <n v="2.2999999999999998"/>
    <x v="11"/>
  </r>
  <r>
    <x v="0"/>
    <x v="1"/>
    <x v="16"/>
    <x v="0"/>
    <x v="3"/>
    <x v="1"/>
    <n v="4"/>
    <n v="3"/>
    <n v="0"/>
    <n v="2.2999999999999998"/>
    <x v="0"/>
  </r>
  <r>
    <x v="8"/>
    <x v="3"/>
    <x v="3"/>
    <x v="3"/>
    <x v="4"/>
    <x v="0"/>
    <n v="4"/>
    <n v="4"/>
    <n v="0"/>
    <n v="3.7"/>
    <x v="8"/>
  </r>
  <r>
    <x v="3"/>
    <x v="9"/>
    <x v="17"/>
    <x v="1"/>
    <x v="2"/>
    <x v="0"/>
    <n v="6"/>
    <n v="6"/>
    <n v="0"/>
    <n v="3.3"/>
    <x v="3"/>
  </r>
  <r>
    <x v="2"/>
    <x v="2"/>
    <x v="19"/>
    <x v="0"/>
    <x v="2"/>
    <x v="0"/>
    <n v="4"/>
    <n v="4"/>
    <n v="0"/>
    <n v="3.8"/>
    <x v="2"/>
  </r>
  <r>
    <x v="10"/>
    <x v="4"/>
    <x v="11"/>
    <x v="1"/>
    <x v="3"/>
    <x v="0"/>
    <n v="4"/>
    <n v="4"/>
    <n v="0"/>
    <n v="4"/>
    <x v="10"/>
  </r>
  <r>
    <x v="7"/>
    <x v="9"/>
    <x v="14"/>
    <x v="2"/>
    <x v="2"/>
    <x v="0"/>
    <n v="5"/>
    <n v="5"/>
    <n v="0"/>
    <n v="3.5"/>
    <x v="7"/>
  </r>
  <r>
    <x v="2"/>
    <x v="3"/>
    <x v="3"/>
    <x v="1"/>
    <x v="2"/>
    <x v="1"/>
    <n v="6"/>
    <n v="5"/>
    <n v="0"/>
    <n v="3.2"/>
    <x v="2"/>
  </r>
  <r>
    <x v="2"/>
    <x v="2"/>
    <x v="19"/>
    <x v="5"/>
    <x v="1"/>
    <x v="1"/>
    <n v="2"/>
    <n v="2"/>
    <n v="0"/>
    <n v="2.1"/>
    <x v="2"/>
  </r>
  <r>
    <x v="2"/>
    <x v="6"/>
    <x v="7"/>
    <x v="4"/>
    <x v="5"/>
    <x v="0"/>
    <n v="4"/>
    <n v="3"/>
    <n v="0"/>
    <n v="1.5"/>
    <x v="2"/>
  </r>
  <r>
    <x v="11"/>
    <x v="6"/>
    <x v="8"/>
    <x v="2"/>
    <x v="2"/>
    <x v="1"/>
    <n v="5"/>
    <n v="5"/>
    <n v="0"/>
    <n v="2.8"/>
    <x v="11"/>
  </r>
  <r>
    <x v="0"/>
    <x v="6"/>
    <x v="8"/>
    <x v="4"/>
    <x v="2"/>
    <x v="1"/>
    <n v="3"/>
    <n v="3"/>
    <n v="0"/>
    <n v="3.4"/>
    <x v="0"/>
  </r>
  <r>
    <x v="3"/>
    <x v="5"/>
    <x v="5"/>
    <x v="2"/>
    <x v="0"/>
    <x v="1"/>
    <n v="4"/>
    <n v="4"/>
    <n v="0"/>
    <n v="4.3"/>
    <x v="3"/>
  </r>
  <r>
    <x v="2"/>
    <x v="2"/>
    <x v="19"/>
    <x v="4"/>
    <x v="3"/>
    <x v="0"/>
    <n v="6"/>
    <n v="5"/>
    <n v="0"/>
    <n v="3.2"/>
    <x v="2"/>
  </r>
  <r>
    <x v="5"/>
    <x v="8"/>
    <x v="10"/>
    <x v="4"/>
    <x v="1"/>
    <x v="1"/>
    <n v="5"/>
    <n v="4"/>
    <n v="1"/>
    <n v="4"/>
    <x v="5"/>
  </r>
  <r>
    <x v="4"/>
    <x v="1"/>
    <x v="16"/>
    <x v="1"/>
    <x v="1"/>
    <x v="1"/>
    <n v="6"/>
    <n v="5"/>
    <n v="0"/>
    <n v="3"/>
    <x v="4"/>
  </r>
  <r>
    <x v="6"/>
    <x v="2"/>
    <x v="19"/>
    <x v="4"/>
    <x v="5"/>
    <x v="0"/>
    <n v="3"/>
    <n v="3"/>
    <n v="0"/>
    <n v="3.6"/>
    <x v="6"/>
  </r>
  <r>
    <x v="2"/>
    <x v="6"/>
    <x v="7"/>
    <x v="0"/>
    <x v="3"/>
    <x v="0"/>
    <n v="7"/>
    <n v="7"/>
    <n v="0"/>
    <n v="1.3"/>
    <x v="2"/>
  </r>
  <r>
    <x v="0"/>
    <x v="3"/>
    <x v="3"/>
    <x v="5"/>
    <x v="3"/>
    <x v="0"/>
    <n v="3"/>
    <n v="2"/>
    <n v="0"/>
    <n v="3.4"/>
    <x v="0"/>
  </r>
  <r>
    <x v="7"/>
    <x v="1"/>
    <x v="1"/>
    <x v="4"/>
    <x v="2"/>
    <x v="1"/>
    <n v="6"/>
    <n v="6"/>
    <n v="0"/>
    <n v="1.4"/>
    <x v="7"/>
  </r>
  <r>
    <x v="8"/>
    <x v="8"/>
    <x v="10"/>
    <x v="3"/>
    <x v="5"/>
    <x v="0"/>
    <n v="4"/>
    <n v="3"/>
    <n v="0"/>
    <n v="3.8"/>
    <x v="8"/>
  </r>
  <r>
    <x v="3"/>
    <x v="9"/>
    <x v="14"/>
    <x v="1"/>
    <x v="0"/>
    <x v="0"/>
    <n v="6"/>
    <n v="6"/>
    <n v="1"/>
    <n v="4.2"/>
    <x v="3"/>
  </r>
  <r>
    <x v="1"/>
    <x v="9"/>
    <x v="14"/>
    <x v="1"/>
    <x v="4"/>
    <x v="0"/>
    <n v="6"/>
    <n v="5"/>
    <n v="1"/>
    <n v="2.2000000000000002"/>
    <x v="1"/>
  </r>
  <r>
    <x v="6"/>
    <x v="6"/>
    <x v="7"/>
    <x v="0"/>
    <x v="0"/>
    <x v="1"/>
    <n v="4"/>
    <n v="3"/>
    <n v="0"/>
    <n v="2.8"/>
    <x v="6"/>
  </r>
  <r>
    <x v="11"/>
    <x v="9"/>
    <x v="17"/>
    <x v="4"/>
    <x v="5"/>
    <x v="1"/>
    <n v="3"/>
    <n v="2"/>
    <n v="0"/>
    <n v="1.5"/>
    <x v="11"/>
  </r>
  <r>
    <x v="11"/>
    <x v="9"/>
    <x v="14"/>
    <x v="1"/>
    <x v="0"/>
    <x v="1"/>
    <n v="5"/>
    <n v="5"/>
    <n v="1"/>
    <n v="2.8"/>
    <x v="11"/>
  </r>
  <r>
    <x v="2"/>
    <x v="4"/>
    <x v="4"/>
    <x v="2"/>
    <x v="0"/>
    <x v="0"/>
    <n v="4"/>
    <n v="2"/>
    <n v="0"/>
    <n v="1.4"/>
    <x v="2"/>
  </r>
  <r>
    <x v="2"/>
    <x v="5"/>
    <x v="6"/>
    <x v="3"/>
    <x v="2"/>
    <x v="0"/>
    <n v="3"/>
    <n v="3"/>
    <n v="0"/>
    <n v="2.2999999999999998"/>
    <x v="2"/>
  </r>
  <r>
    <x v="4"/>
    <x v="8"/>
    <x v="18"/>
    <x v="0"/>
    <x v="4"/>
    <x v="0"/>
    <n v="5"/>
    <n v="5"/>
    <n v="1"/>
    <n v="3.4"/>
    <x v="4"/>
  </r>
  <r>
    <x v="9"/>
    <x v="2"/>
    <x v="19"/>
    <x v="5"/>
    <x v="3"/>
    <x v="1"/>
    <n v="4"/>
    <n v="4"/>
    <n v="0"/>
    <n v="2.7"/>
    <x v="9"/>
  </r>
  <r>
    <x v="6"/>
    <x v="5"/>
    <x v="5"/>
    <x v="1"/>
    <x v="0"/>
    <x v="1"/>
    <n v="4"/>
    <n v="4"/>
    <n v="0"/>
    <n v="4.0999999999999996"/>
    <x v="6"/>
  </r>
  <r>
    <x v="0"/>
    <x v="5"/>
    <x v="6"/>
    <x v="4"/>
    <x v="4"/>
    <x v="1"/>
    <n v="9"/>
    <n v="9"/>
    <n v="2"/>
    <n v="2.1"/>
    <x v="0"/>
  </r>
  <r>
    <x v="9"/>
    <x v="4"/>
    <x v="4"/>
    <x v="2"/>
    <x v="0"/>
    <x v="1"/>
    <n v="3"/>
    <n v="3"/>
    <n v="0"/>
    <n v="0.6"/>
    <x v="9"/>
  </r>
  <r>
    <x v="2"/>
    <x v="8"/>
    <x v="10"/>
    <x v="2"/>
    <x v="1"/>
    <x v="0"/>
    <n v="6"/>
    <n v="6"/>
    <n v="1"/>
    <n v="1.7"/>
    <x v="2"/>
  </r>
  <r>
    <x v="6"/>
    <x v="2"/>
    <x v="2"/>
    <x v="5"/>
    <x v="4"/>
    <x v="0"/>
    <n v="6"/>
    <n v="6"/>
    <n v="2"/>
    <n v="2.5"/>
    <x v="6"/>
  </r>
  <r>
    <x v="5"/>
    <x v="3"/>
    <x v="3"/>
    <x v="1"/>
    <x v="4"/>
    <x v="0"/>
    <n v="4"/>
    <n v="4"/>
    <n v="1"/>
    <n v="3.5"/>
    <x v="5"/>
  </r>
  <r>
    <x v="2"/>
    <x v="0"/>
    <x v="12"/>
    <x v="3"/>
    <x v="1"/>
    <x v="0"/>
    <n v="4"/>
    <n v="2"/>
    <n v="1"/>
    <n v="2.6"/>
    <x v="2"/>
  </r>
  <r>
    <x v="0"/>
    <x v="7"/>
    <x v="9"/>
    <x v="2"/>
    <x v="0"/>
    <x v="0"/>
    <n v="3"/>
    <n v="2"/>
    <n v="1"/>
    <n v="1.7"/>
    <x v="0"/>
  </r>
  <r>
    <x v="9"/>
    <x v="8"/>
    <x v="18"/>
    <x v="0"/>
    <x v="2"/>
    <x v="0"/>
    <n v="2"/>
    <n v="2"/>
    <n v="0"/>
    <n v="3.2"/>
    <x v="9"/>
  </r>
  <r>
    <x v="8"/>
    <x v="6"/>
    <x v="8"/>
    <x v="2"/>
    <x v="0"/>
    <x v="0"/>
    <n v="3"/>
    <n v="3"/>
    <n v="0"/>
    <n v="3.7"/>
    <x v="8"/>
  </r>
  <r>
    <x v="11"/>
    <x v="7"/>
    <x v="9"/>
    <x v="2"/>
    <x v="2"/>
    <x v="0"/>
    <n v="5"/>
    <n v="4"/>
    <n v="0"/>
    <n v="2.8"/>
    <x v="11"/>
  </r>
  <r>
    <x v="0"/>
    <x v="3"/>
    <x v="15"/>
    <x v="4"/>
    <x v="5"/>
    <x v="0"/>
    <n v="4"/>
    <n v="4"/>
    <n v="0"/>
    <n v="4.0999999999999996"/>
    <x v="0"/>
  </r>
  <r>
    <x v="10"/>
    <x v="1"/>
    <x v="1"/>
    <x v="0"/>
    <x v="3"/>
    <x v="0"/>
    <n v="5"/>
    <n v="5"/>
    <n v="0"/>
    <n v="2.8"/>
    <x v="10"/>
  </r>
  <r>
    <x v="4"/>
    <x v="6"/>
    <x v="7"/>
    <x v="3"/>
    <x v="2"/>
    <x v="0"/>
    <n v="2"/>
    <n v="2"/>
    <n v="0"/>
    <n v="0.6"/>
    <x v="4"/>
  </r>
  <r>
    <x v="2"/>
    <x v="2"/>
    <x v="2"/>
    <x v="4"/>
    <x v="5"/>
    <x v="0"/>
    <n v="2"/>
    <n v="2"/>
    <n v="0"/>
    <n v="3.4"/>
    <x v="2"/>
  </r>
  <r>
    <x v="6"/>
    <x v="3"/>
    <x v="15"/>
    <x v="4"/>
    <x v="3"/>
    <x v="1"/>
    <n v="5"/>
    <n v="5"/>
    <n v="0"/>
    <n v="3.4"/>
    <x v="6"/>
  </r>
  <r>
    <x v="6"/>
    <x v="0"/>
    <x v="12"/>
    <x v="0"/>
    <x v="0"/>
    <x v="0"/>
    <n v="5"/>
    <n v="5"/>
    <n v="0"/>
    <n v="2.9"/>
    <x v="6"/>
  </r>
  <r>
    <x v="7"/>
    <x v="1"/>
    <x v="1"/>
    <x v="5"/>
    <x v="5"/>
    <x v="0"/>
    <n v="5"/>
    <n v="5"/>
    <n v="1"/>
    <n v="2.5"/>
    <x v="7"/>
  </r>
  <r>
    <x v="5"/>
    <x v="0"/>
    <x v="12"/>
    <x v="2"/>
    <x v="4"/>
    <x v="0"/>
    <n v="8"/>
    <n v="7"/>
    <n v="1"/>
    <n v="2.6"/>
    <x v="5"/>
  </r>
  <r>
    <x v="5"/>
    <x v="1"/>
    <x v="1"/>
    <x v="5"/>
    <x v="5"/>
    <x v="1"/>
    <n v="3"/>
    <n v="3"/>
    <n v="0"/>
    <n v="2.5"/>
    <x v="5"/>
  </r>
  <r>
    <x v="4"/>
    <x v="8"/>
    <x v="18"/>
    <x v="1"/>
    <x v="3"/>
    <x v="1"/>
    <n v="10"/>
    <n v="10"/>
    <n v="1"/>
    <n v="4.4000000000000004"/>
    <x v="4"/>
  </r>
  <r>
    <x v="11"/>
    <x v="6"/>
    <x v="7"/>
    <x v="0"/>
    <x v="4"/>
    <x v="0"/>
    <n v="3"/>
    <n v="3"/>
    <n v="0"/>
    <n v="1.8"/>
    <x v="11"/>
  </r>
  <r>
    <x v="6"/>
    <x v="8"/>
    <x v="18"/>
    <x v="5"/>
    <x v="5"/>
    <x v="0"/>
    <n v="5"/>
    <n v="5"/>
    <n v="1"/>
    <n v="3.3"/>
    <x v="6"/>
  </r>
  <r>
    <x v="3"/>
    <x v="7"/>
    <x v="13"/>
    <x v="5"/>
    <x v="0"/>
    <x v="0"/>
    <n v="4"/>
    <n v="3"/>
    <n v="0"/>
    <n v="3.3"/>
    <x v="3"/>
  </r>
  <r>
    <x v="0"/>
    <x v="3"/>
    <x v="15"/>
    <x v="0"/>
    <x v="4"/>
    <x v="1"/>
    <n v="5"/>
    <n v="5"/>
    <n v="0"/>
    <n v="3.5"/>
    <x v="0"/>
  </r>
  <r>
    <x v="3"/>
    <x v="6"/>
    <x v="7"/>
    <x v="0"/>
    <x v="4"/>
    <x v="0"/>
    <n v="3"/>
    <n v="3"/>
    <n v="0"/>
    <n v="3.6"/>
    <x v="3"/>
  </r>
  <r>
    <x v="7"/>
    <x v="7"/>
    <x v="13"/>
    <x v="0"/>
    <x v="1"/>
    <x v="0"/>
    <n v="4"/>
    <n v="3"/>
    <n v="0"/>
    <n v="2.8"/>
    <x v="7"/>
  </r>
  <r>
    <x v="3"/>
    <x v="2"/>
    <x v="2"/>
    <x v="4"/>
    <x v="3"/>
    <x v="0"/>
    <n v="7"/>
    <n v="4"/>
    <n v="0"/>
    <n v="2.4"/>
    <x v="3"/>
  </r>
  <r>
    <x v="5"/>
    <x v="7"/>
    <x v="9"/>
    <x v="5"/>
    <x v="2"/>
    <x v="0"/>
    <n v="5"/>
    <n v="4"/>
    <n v="0"/>
    <n v="4.7"/>
    <x v="5"/>
  </r>
  <r>
    <x v="3"/>
    <x v="1"/>
    <x v="16"/>
    <x v="0"/>
    <x v="4"/>
    <x v="0"/>
    <n v="7"/>
    <n v="7"/>
    <n v="0"/>
    <n v="0.7"/>
    <x v="3"/>
  </r>
  <r>
    <x v="10"/>
    <x v="3"/>
    <x v="15"/>
    <x v="1"/>
    <x v="3"/>
    <x v="0"/>
    <n v="6"/>
    <n v="5"/>
    <n v="0"/>
    <n v="3"/>
    <x v="10"/>
  </r>
  <r>
    <x v="5"/>
    <x v="2"/>
    <x v="2"/>
    <x v="4"/>
    <x v="4"/>
    <x v="0"/>
    <n v="4"/>
    <n v="4"/>
    <n v="0"/>
    <n v="3.7"/>
    <x v="5"/>
  </r>
  <r>
    <x v="8"/>
    <x v="5"/>
    <x v="6"/>
    <x v="1"/>
    <x v="3"/>
    <x v="0"/>
    <n v="4"/>
    <n v="4"/>
    <n v="0"/>
    <n v="4.9000000000000004"/>
    <x v="8"/>
  </r>
  <r>
    <x v="5"/>
    <x v="1"/>
    <x v="1"/>
    <x v="0"/>
    <x v="5"/>
    <x v="0"/>
    <n v="7"/>
    <n v="6"/>
    <n v="0"/>
    <n v="4"/>
    <x v="5"/>
  </r>
  <r>
    <x v="6"/>
    <x v="5"/>
    <x v="6"/>
    <x v="2"/>
    <x v="3"/>
    <x v="1"/>
    <n v="2"/>
    <n v="1"/>
    <n v="0"/>
    <n v="2.7"/>
    <x v="6"/>
  </r>
  <r>
    <x v="11"/>
    <x v="2"/>
    <x v="2"/>
    <x v="0"/>
    <x v="4"/>
    <x v="0"/>
    <n v="3"/>
    <n v="2"/>
    <n v="0"/>
    <n v="2.1"/>
    <x v="11"/>
  </r>
  <r>
    <x v="3"/>
    <x v="5"/>
    <x v="6"/>
    <x v="4"/>
    <x v="1"/>
    <x v="0"/>
    <n v="4"/>
    <n v="4"/>
    <n v="0"/>
    <n v="2.8"/>
    <x v="3"/>
  </r>
  <r>
    <x v="6"/>
    <x v="1"/>
    <x v="16"/>
    <x v="0"/>
    <x v="2"/>
    <x v="1"/>
    <n v="7"/>
    <n v="6"/>
    <n v="0"/>
    <n v="4"/>
    <x v="6"/>
  </r>
  <r>
    <x v="3"/>
    <x v="8"/>
    <x v="10"/>
    <x v="3"/>
    <x v="4"/>
    <x v="1"/>
    <n v="6"/>
    <n v="6"/>
    <n v="0"/>
    <n v="2.9"/>
    <x v="3"/>
  </r>
  <r>
    <x v="5"/>
    <x v="2"/>
    <x v="2"/>
    <x v="3"/>
    <x v="5"/>
    <x v="1"/>
    <n v="7"/>
    <n v="7"/>
    <n v="1"/>
    <n v="3.2"/>
    <x v="5"/>
  </r>
  <r>
    <x v="3"/>
    <x v="9"/>
    <x v="17"/>
    <x v="5"/>
    <x v="0"/>
    <x v="1"/>
    <n v="6"/>
    <n v="6"/>
    <n v="0"/>
    <n v="2.7"/>
    <x v="3"/>
  </r>
  <r>
    <x v="7"/>
    <x v="1"/>
    <x v="1"/>
    <x v="3"/>
    <x v="2"/>
    <x v="1"/>
    <n v="8"/>
    <n v="8"/>
    <n v="0"/>
    <n v="3.2"/>
    <x v="7"/>
  </r>
  <r>
    <x v="4"/>
    <x v="0"/>
    <x v="0"/>
    <x v="5"/>
    <x v="1"/>
    <x v="0"/>
    <n v="5"/>
    <n v="5"/>
    <n v="0"/>
    <n v="2.7"/>
    <x v="4"/>
  </r>
  <r>
    <x v="5"/>
    <x v="3"/>
    <x v="3"/>
    <x v="2"/>
    <x v="2"/>
    <x v="0"/>
    <n v="5"/>
    <n v="5"/>
    <n v="0"/>
    <n v="3.9"/>
    <x v="5"/>
  </r>
  <r>
    <x v="6"/>
    <x v="7"/>
    <x v="9"/>
    <x v="5"/>
    <x v="0"/>
    <x v="1"/>
    <n v="7"/>
    <n v="6"/>
    <n v="0"/>
    <n v="4.3"/>
    <x v="6"/>
  </r>
  <r>
    <x v="1"/>
    <x v="8"/>
    <x v="18"/>
    <x v="3"/>
    <x v="2"/>
    <x v="1"/>
    <n v="7"/>
    <n v="7"/>
    <n v="0"/>
    <n v="-0.5"/>
    <x v="1"/>
  </r>
  <r>
    <x v="9"/>
    <x v="0"/>
    <x v="0"/>
    <x v="4"/>
    <x v="3"/>
    <x v="0"/>
    <n v="3"/>
    <n v="3"/>
    <n v="0"/>
    <n v="2.8"/>
    <x v="9"/>
  </r>
  <r>
    <x v="3"/>
    <x v="9"/>
    <x v="14"/>
    <x v="0"/>
    <x v="5"/>
    <x v="1"/>
    <n v="3"/>
    <n v="3"/>
    <n v="0"/>
    <n v="4.4000000000000004"/>
    <x v="3"/>
  </r>
  <r>
    <x v="8"/>
    <x v="8"/>
    <x v="18"/>
    <x v="5"/>
    <x v="4"/>
    <x v="0"/>
    <n v="6"/>
    <n v="4"/>
    <n v="2"/>
    <n v="2.9"/>
    <x v="8"/>
  </r>
  <r>
    <x v="3"/>
    <x v="0"/>
    <x v="0"/>
    <x v="0"/>
    <x v="2"/>
    <x v="1"/>
    <n v="1"/>
    <n v="1"/>
    <n v="0"/>
    <n v="3.6"/>
    <x v="3"/>
  </r>
  <r>
    <x v="7"/>
    <x v="8"/>
    <x v="18"/>
    <x v="0"/>
    <x v="2"/>
    <x v="1"/>
    <n v="8"/>
    <n v="7"/>
    <n v="0"/>
    <n v="3.1"/>
    <x v="7"/>
  </r>
  <r>
    <x v="11"/>
    <x v="7"/>
    <x v="9"/>
    <x v="1"/>
    <x v="3"/>
    <x v="0"/>
    <n v="8"/>
    <n v="8"/>
    <n v="0"/>
    <n v="2.7"/>
    <x v="11"/>
  </r>
  <r>
    <x v="10"/>
    <x v="2"/>
    <x v="19"/>
    <x v="3"/>
    <x v="0"/>
    <x v="1"/>
    <n v="5"/>
    <n v="4"/>
    <n v="0"/>
    <n v="2.6"/>
    <x v="10"/>
  </r>
  <r>
    <x v="11"/>
    <x v="4"/>
    <x v="4"/>
    <x v="2"/>
    <x v="1"/>
    <x v="1"/>
    <n v="5"/>
    <n v="5"/>
    <n v="1"/>
    <n v="1.8"/>
    <x v="11"/>
  </r>
  <r>
    <x v="3"/>
    <x v="5"/>
    <x v="5"/>
    <x v="5"/>
    <x v="4"/>
    <x v="0"/>
    <n v="5"/>
    <n v="5"/>
    <n v="0"/>
    <n v="3"/>
    <x v="3"/>
  </r>
  <r>
    <x v="2"/>
    <x v="5"/>
    <x v="6"/>
    <x v="3"/>
    <x v="5"/>
    <x v="0"/>
    <n v="6"/>
    <n v="6"/>
    <n v="0"/>
    <n v="1.5"/>
    <x v="2"/>
  </r>
  <r>
    <x v="2"/>
    <x v="6"/>
    <x v="7"/>
    <x v="5"/>
    <x v="2"/>
    <x v="0"/>
    <n v="5"/>
    <n v="5"/>
    <n v="0"/>
    <n v="4"/>
    <x v="2"/>
  </r>
  <r>
    <x v="10"/>
    <x v="4"/>
    <x v="4"/>
    <x v="0"/>
    <x v="0"/>
    <x v="0"/>
    <n v="3"/>
    <n v="3"/>
    <n v="0"/>
    <n v="2.2999999999999998"/>
    <x v="10"/>
  </r>
  <r>
    <x v="8"/>
    <x v="9"/>
    <x v="17"/>
    <x v="2"/>
    <x v="1"/>
    <x v="0"/>
    <n v="5"/>
    <n v="5"/>
    <n v="0"/>
    <n v="2.6"/>
    <x v="8"/>
  </r>
  <r>
    <x v="3"/>
    <x v="4"/>
    <x v="4"/>
    <x v="1"/>
    <x v="2"/>
    <x v="0"/>
    <n v="3"/>
    <n v="3"/>
    <n v="0"/>
    <n v="3.2"/>
    <x v="3"/>
  </r>
  <r>
    <x v="8"/>
    <x v="4"/>
    <x v="11"/>
    <x v="5"/>
    <x v="1"/>
    <x v="0"/>
    <n v="5"/>
    <n v="5"/>
    <n v="0"/>
    <n v="3.7"/>
    <x v="8"/>
  </r>
  <r>
    <x v="4"/>
    <x v="0"/>
    <x v="0"/>
    <x v="2"/>
    <x v="0"/>
    <x v="0"/>
    <n v="6"/>
    <n v="5"/>
    <n v="1"/>
    <n v="3.1"/>
    <x v="4"/>
  </r>
  <r>
    <x v="1"/>
    <x v="3"/>
    <x v="3"/>
    <x v="5"/>
    <x v="0"/>
    <x v="0"/>
    <n v="3"/>
    <n v="3"/>
    <n v="0"/>
    <n v="3.3"/>
    <x v="1"/>
  </r>
  <r>
    <x v="4"/>
    <x v="1"/>
    <x v="1"/>
    <x v="3"/>
    <x v="1"/>
    <x v="1"/>
    <n v="8"/>
    <n v="6"/>
    <n v="1"/>
    <n v="2.8"/>
    <x v="4"/>
  </r>
  <r>
    <x v="10"/>
    <x v="3"/>
    <x v="3"/>
    <x v="3"/>
    <x v="1"/>
    <x v="0"/>
    <n v="3"/>
    <n v="3"/>
    <n v="0"/>
    <n v="4.5999999999999996"/>
    <x v="10"/>
  </r>
  <r>
    <x v="9"/>
    <x v="9"/>
    <x v="14"/>
    <x v="5"/>
    <x v="1"/>
    <x v="1"/>
    <n v="2"/>
    <n v="1"/>
    <n v="0"/>
    <n v="1.3"/>
    <x v="9"/>
  </r>
  <r>
    <x v="7"/>
    <x v="6"/>
    <x v="7"/>
    <x v="0"/>
    <x v="4"/>
    <x v="0"/>
    <n v="4"/>
    <n v="4"/>
    <n v="0"/>
    <n v="1.2"/>
    <x v="7"/>
  </r>
  <r>
    <x v="6"/>
    <x v="4"/>
    <x v="11"/>
    <x v="3"/>
    <x v="0"/>
    <x v="1"/>
    <n v="3"/>
    <n v="3"/>
    <n v="0"/>
    <n v="3.3"/>
    <x v="6"/>
  </r>
  <r>
    <x v="10"/>
    <x v="1"/>
    <x v="1"/>
    <x v="1"/>
    <x v="2"/>
    <x v="1"/>
    <n v="7"/>
    <n v="6"/>
    <n v="0"/>
    <n v="1.4"/>
    <x v="10"/>
  </r>
  <r>
    <x v="1"/>
    <x v="8"/>
    <x v="10"/>
    <x v="3"/>
    <x v="0"/>
    <x v="1"/>
    <n v="5"/>
    <n v="4"/>
    <n v="0"/>
    <n v="2.6"/>
    <x v="1"/>
  </r>
  <r>
    <x v="3"/>
    <x v="4"/>
    <x v="11"/>
    <x v="4"/>
    <x v="2"/>
    <x v="1"/>
    <n v="5"/>
    <n v="5"/>
    <n v="0"/>
    <n v="1.8"/>
    <x v="3"/>
  </r>
  <r>
    <x v="1"/>
    <x v="7"/>
    <x v="13"/>
    <x v="1"/>
    <x v="1"/>
    <x v="1"/>
    <n v="3"/>
    <n v="2"/>
    <n v="0"/>
    <n v="4"/>
    <x v="1"/>
  </r>
  <r>
    <x v="1"/>
    <x v="8"/>
    <x v="18"/>
    <x v="0"/>
    <x v="1"/>
    <x v="1"/>
    <n v="3"/>
    <n v="3"/>
    <n v="0"/>
    <n v="1.6"/>
    <x v="1"/>
  </r>
  <r>
    <x v="6"/>
    <x v="8"/>
    <x v="10"/>
    <x v="5"/>
    <x v="2"/>
    <x v="0"/>
    <n v="5"/>
    <n v="5"/>
    <n v="0"/>
    <n v="4.2"/>
    <x v="6"/>
  </r>
  <r>
    <x v="5"/>
    <x v="6"/>
    <x v="7"/>
    <x v="2"/>
    <x v="2"/>
    <x v="1"/>
    <n v="7"/>
    <n v="7"/>
    <n v="1"/>
    <n v="1.6"/>
    <x v="5"/>
  </r>
  <r>
    <x v="2"/>
    <x v="8"/>
    <x v="18"/>
    <x v="4"/>
    <x v="0"/>
    <x v="0"/>
    <n v="6"/>
    <n v="5"/>
    <n v="0"/>
    <n v="1.6"/>
    <x v="2"/>
  </r>
  <r>
    <x v="4"/>
    <x v="2"/>
    <x v="19"/>
    <x v="3"/>
    <x v="0"/>
    <x v="0"/>
    <n v="3"/>
    <n v="2"/>
    <n v="0"/>
    <n v="2.1"/>
    <x v="4"/>
  </r>
  <r>
    <x v="2"/>
    <x v="8"/>
    <x v="10"/>
    <x v="4"/>
    <x v="2"/>
    <x v="1"/>
    <n v="8"/>
    <n v="8"/>
    <n v="0"/>
    <n v="2.6"/>
    <x v="2"/>
  </r>
  <r>
    <x v="11"/>
    <x v="2"/>
    <x v="19"/>
    <x v="0"/>
    <x v="5"/>
    <x v="0"/>
    <n v="3"/>
    <n v="2"/>
    <n v="0"/>
    <n v="3.5"/>
    <x v="11"/>
  </r>
  <r>
    <x v="5"/>
    <x v="4"/>
    <x v="11"/>
    <x v="3"/>
    <x v="5"/>
    <x v="0"/>
    <n v="5"/>
    <n v="5"/>
    <n v="0"/>
    <n v="5"/>
    <x v="5"/>
  </r>
  <r>
    <x v="4"/>
    <x v="9"/>
    <x v="14"/>
    <x v="1"/>
    <x v="2"/>
    <x v="1"/>
    <n v="4"/>
    <n v="4"/>
    <n v="1"/>
    <n v="2"/>
    <x v="4"/>
  </r>
  <r>
    <x v="11"/>
    <x v="3"/>
    <x v="15"/>
    <x v="2"/>
    <x v="0"/>
    <x v="0"/>
    <n v="4"/>
    <n v="3"/>
    <n v="0"/>
    <n v="2.2000000000000002"/>
    <x v="11"/>
  </r>
  <r>
    <x v="5"/>
    <x v="1"/>
    <x v="1"/>
    <x v="0"/>
    <x v="5"/>
    <x v="0"/>
    <n v="5"/>
    <n v="5"/>
    <n v="0"/>
    <n v="4.2"/>
    <x v="5"/>
  </r>
  <r>
    <x v="8"/>
    <x v="4"/>
    <x v="11"/>
    <x v="4"/>
    <x v="0"/>
    <x v="1"/>
    <n v="5"/>
    <n v="5"/>
    <n v="0"/>
    <n v="3"/>
    <x v="8"/>
  </r>
  <r>
    <x v="11"/>
    <x v="0"/>
    <x v="0"/>
    <x v="0"/>
    <x v="1"/>
    <x v="1"/>
    <n v="3"/>
    <n v="3"/>
    <n v="0"/>
    <n v="3.3"/>
    <x v="11"/>
  </r>
  <r>
    <x v="3"/>
    <x v="5"/>
    <x v="6"/>
    <x v="1"/>
    <x v="4"/>
    <x v="1"/>
    <n v="5"/>
    <n v="5"/>
    <n v="0"/>
    <n v="3.1"/>
    <x v="3"/>
  </r>
  <r>
    <x v="3"/>
    <x v="9"/>
    <x v="17"/>
    <x v="5"/>
    <x v="0"/>
    <x v="1"/>
    <n v="8"/>
    <n v="6"/>
    <n v="0"/>
    <n v="3.7"/>
    <x v="3"/>
  </r>
  <r>
    <x v="8"/>
    <x v="7"/>
    <x v="13"/>
    <x v="3"/>
    <x v="0"/>
    <x v="1"/>
    <n v="2"/>
    <n v="2"/>
    <n v="0"/>
    <n v="0.8"/>
    <x v="8"/>
  </r>
  <r>
    <x v="8"/>
    <x v="3"/>
    <x v="15"/>
    <x v="2"/>
    <x v="1"/>
    <x v="1"/>
    <n v="5"/>
    <n v="5"/>
    <n v="0"/>
    <n v="2.2000000000000002"/>
    <x v="8"/>
  </r>
  <r>
    <x v="7"/>
    <x v="7"/>
    <x v="9"/>
    <x v="5"/>
    <x v="3"/>
    <x v="1"/>
    <n v="3"/>
    <n v="2"/>
    <n v="0"/>
    <n v="4.8"/>
    <x v="7"/>
  </r>
  <r>
    <x v="11"/>
    <x v="3"/>
    <x v="3"/>
    <x v="4"/>
    <x v="5"/>
    <x v="0"/>
    <n v="4"/>
    <n v="1"/>
    <n v="0"/>
    <n v="2"/>
    <x v="11"/>
  </r>
  <r>
    <x v="1"/>
    <x v="0"/>
    <x v="12"/>
    <x v="1"/>
    <x v="4"/>
    <x v="1"/>
    <n v="6"/>
    <n v="6"/>
    <n v="0"/>
    <n v="3.5"/>
    <x v="1"/>
  </r>
  <r>
    <x v="6"/>
    <x v="0"/>
    <x v="0"/>
    <x v="1"/>
    <x v="1"/>
    <x v="0"/>
    <n v="5"/>
    <n v="4"/>
    <n v="1"/>
    <n v="4.0999999999999996"/>
    <x v="6"/>
  </r>
  <r>
    <x v="11"/>
    <x v="2"/>
    <x v="19"/>
    <x v="5"/>
    <x v="3"/>
    <x v="0"/>
    <n v="8"/>
    <n v="7"/>
    <n v="0"/>
    <n v="2.8"/>
    <x v="11"/>
  </r>
  <r>
    <x v="2"/>
    <x v="1"/>
    <x v="16"/>
    <x v="4"/>
    <x v="0"/>
    <x v="1"/>
    <n v="4"/>
    <n v="4"/>
    <n v="0"/>
    <n v="3"/>
    <x v="2"/>
  </r>
  <r>
    <x v="9"/>
    <x v="5"/>
    <x v="6"/>
    <x v="1"/>
    <x v="0"/>
    <x v="1"/>
    <n v="3"/>
    <n v="3"/>
    <n v="0"/>
    <n v="2.6"/>
    <x v="9"/>
  </r>
  <r>
    <x v="3"/>
    <x v="3"/>
    <x v="3"/>
    <x v="4"/>
    <x v="1"/>
    <x v="1"/>
    <n v="3"/>
    <n v="3"/>
    <n v="0"/>
    <n v="3.6"/>
    <x v="3"/>
  </r>
  <r>
    <x v="8"/>
    <x v="9"/>
    <x v="17"/>
    <x v="3"/>
    <x v="2"/>
    <x v="1"/>
    <n v="5"/>
    <n v="4"/>
    <n v="1"/>
    <n v="3.7"/>
    <x v="8"/>
  </r>
  <r>
    <x v="8"/>
    <x v="3"/>
    <x v="15"/>
    <x v="0"/>
    <x v="4"/>
    <x v="1"/>
    <n v="6"/>
    <n v="5"/>
    <n v="0"/>
    <n v="3.1"/>
    <x v="8"/>
  </r>
  <r>
    <x v="10"/>
    <x v="4"/>
    <x v="4"/>
    <x v="4"/>
    <x v="5"/>
    <x v="1"/>
    <n v="5"/>
    <n v="3"/>
    <n v="0"/>
    <n v="4"/>
    <x v="10"/>
  </r>
  <r>
    <x v="3"/>
    <x v="1"/>
    <x v="16"/>
    <x v="3"/>
    <x v="1"/>
    <x v="1"/>
    <n v="5"/>
    <n v="5"/>
    <n v="1"/>
    <n v="3.6"/>
    <x v="3"/>
  </r>
  <r>
    <x v="9"/>
    <x v="5"/>
    <x v="5"/>
    <x v="3"/>
    <x v="0"/>
    <x v="0"/>
    <n v="9"/>
    <n v="9"/>
    <n v="0"/>
    <n v="1.5"/>
    <x v="9"/>
  </r>
  <r>
    <x v="0"/>
    <x v="1"/>
    <x v="1"/>
    <x v="1"/>
    <x v="3"/>
    <x v="0"/>
    <n v="4"/>
    <n v="4"/>
    <n v="0"/>
    <n v="2.2000000000000002"/>
    <x v="0"/>
  </r>
  <r>
    <x v="0"/>
    <x v="5"/>
    <x v="6"/>
    <x v="3"/>
    <x v="0"/>
    <x v="1"/>
    <n v="7"/>
    <n v="6"/>
    <n v="1"/>
    <n v="2.9"/>
    <x v="0"/>
  </r>
  <r>
    <x v="4"/>
    <x v="7"/>
    <x v="13"/>
    <x v="1"/>
    <x v="5"/>
    <x v="0"/>
    <n v="2"/>
    <n v="1"/>
    <n v="0"/>
    <n v="1.9"/>
    <x v="4"/>
  </r>
  <r>
    <x v="8"/>
    <x v="6"/>
    <x v="8"/>
    <x v="2"/>
    <x v="1"/>
    <x v="1"/>
    <n v="0"/>
    <n v="0"/>
    <n v="0"/>
    <n v="3.1"/>
    <x v="8"/>
  </r>
  <r>
    <x v="1"/>
    <x v="5"/>
    <x v="6"/>
    <x v="1"/>
    <x v="0"/>
    <x v="1"/>
    <n v="4"/>
    <n v="4"/>
    <n v="0"/>
    <n v="2.1"/>
    <x v="1"/>
  </r>
  <r>
    <x v="3"/>
    <x v="1"/>
    <x v="16"/>
    <x v="5"/>
    <x v="0"/>
    <x v="0"/>
    <n v="6"/>
    <n v="5"/>
    <n v="0"/>
    <n v="4.0999999999999996"/>
    <x v="3"/>
  </r>
  <r>
    <x v="8"/>
    <x v="0"/>
    <x v="0"/>
    <x v="3"/>
    <x v="2"/>
    <x v="0"/>
    <n v="6"/>
    <n v="5"/>
    <n v="0"/>
    <n v="4.5"/>
    <x v="8"/>
  </r>
  <r>
    <x v="5"/>
    <x v="7"/>
    <x v="9"/>
    <x v="5"/>
    <x v="4"/>
    <x v="1"/>
    <n v="4"/>
    <n v="3"/>
    <n v="0"/>
    <n v="2.2000000000000002"/>
    <x v="5"/>
  </r>
  <r>
    <x v="7"/>
    <x v="3"/>
    <x v="15"/>
    <x v="4"/>
    <x v="2"/>
    <x v="1"/>
    <n v="4"/>
    <n v="4"/>
    <n v="0"/>
    <n v="3"/>
    <x v="7"/>
  </r>
  <r>
    <x v="3"/>
    <x v="2"/>
    <x v="19"/>
    <x v="4"/>
    <x v="3"/>
    <x v="0"/>
    <n v="3"/>
    <n v="2"/>
    <n v="0"/>
    <n v="4"/>
    <x v="3"/>
  </r>
  <r>
    <x v="5"/>
    <x v="1"/>
    <x v="16"/>
    <x v="0"/>
    <x v="4"/>
    <x v="1"/>
    <n v="3"/>
    <n v="3"/>
    <n v="0"/>
    <n v="4.9000000000000004"/>
    <x v="5"/>
  </r>
  <r>
    <x v="3"/>
    <x v="8"/>
    <x v="18"/>
    <x v="2"/>
    <x v="4"/>
    <x v="1"/>
    <n v="1"/>
    <n v="0"/>
    <n v="0"/>
    <n v="2.1"/>
    <x v="3"/>
  </r>
  <r>
    <x v="9"/>
    <x v="7"/>
    <x v="9"/>
    <x v="1"/>
    <x v="4"/>
    <x v="1"/>
    <n v="2"/>
    <n v="2"/>
    <n v="1"/>
    <n v="2.2999999999999998"/>
    <x v="9"/>
  </r>
  <r>
    <x v="9"/>
    <x v="3"/>
    <x v="15"/>
    <x v="5"/>
    <x v="2"/>
    <x v="1"/>
    <n v="4"/>
    <n v="4"/>
    <n v="0"/>
    <n v="2.7"/>
    <x v="9"/>
  </r>
  <r>
    <x v="10"/>
    <x v="6"/>
    <x v="7"/>
    <x v="5"/>
    <x v="2"/>
    <x v="0"/>
    <n v="3"/>
    <n v="3"/>
    <n v="1"/>
    <n v="3.1"/>
    <x v="10"/>
  </r>
  <r>
    <x v="0"/>
    <x v="5"/>
    <x v="5"/>
    <x v="0"/>
    <x v="4"/>
    <x v="1"/>
    <n v="7"/>
    <n v="6"/>
    <n v="0"/>
    <n v="3.9"/>
    <x v="0"/>
  </r>
  <r>
    <x v="9"/>
    <x v="6"/>
    <x v="7"/>
    <x v="4"/>
    <x v="5"/>
    <x v="0"/>
    <n v="4"/>
    <n v="4"/>
    <n v="0"/>
    <n v="2.1"/>
    <x v="9"/>
  </r>
  <r>
    <x v="4"/>
    <x v="6"/>
    <x v="7"/>
    <x v="0"/>
    <x v="2"/>
    <x v="1"/>
    <n v="5"/>
    <n v="4"/>
    <n v="1"/>
    <n v="4.5"/>
    <x v="4"/>
  </r>
  <r>
    <x v="7"/>
    <x v="0"/>
    <x v="12"/>
    <x v="3"/>
    <x v="4"/>
    <x v="1"/>
    <n v="2"/>
    <n v="2"/>
    <n v="0"/>
    <n v="2.2999999999999998"/>
    <x v="7"/>
  </r>
  <r>
    <x v="1"/>
    <x v="0"/>
    <x v="12"/>
    <x v="3"/>
    <x v="4"/>
    <x v="1"/>
    <n v="4"/>
    <n v="4"/>
    <n v="0"/>
    <n v="4"/>
    <x v="1"/>
  </r>
  <r>
    <x v="6"/>
    <x v="5"/>
    <x v="5"/>
    <x v="0"/>
    <x v="4"/>
    <x v="0"/>
    <n v="1"/>
    <n v="1"/>
    <n v="0"/>
    <n v="1.7"/>
    <x v="6"/>
  </r>
  <r>
    <x v="3"/>
    <x v="2"/>
    <x v="19"/>
    <x v="2"/>
    <x v="2"/>
    <x v="1"/>
    <n v="2"/>
    <n v="1"/>
    <n v="0"/>
    <n v="1.6"/>
    <x v="3"/>
  </r>
  <r>
    <x v="2"/>
    <x v="5"/>
    <x v="6"/>
    <x v="1"/>
    <x v="1"/>
    <x v="0"/>
    <n v="5"/>
    <n v="5"/>
    <n v="0"/>
    <n v="4"/>
    <x v="2"/>
  </r>
  <r>
    <x v="8"/>
    <x v="6"/>
    <x v="7"/>
    <x v="3"/>
    <x v="4"/>
    <x v="0"/>
    <n v="4"/>
    <n v="4"/>
    <n v="0"/>
    <n v="3.1"/>
    <x v="8"/>
  </r>
  <r>
    <x v="0"/>
    <x v="8"/>
    <x v="18"/>
    <x v="2"/>
    <x v="0"/>
    <x v="1"/>
    <n v="7"/>
    <n v="5"/>
    <n v="0"/>
    <n v="2.2999999999999998"/>
    <x v="0"/>
  </r>
  <r>
    <x v="8"/>
    <x v="8"/>
    <x v="18"/>
    <x v="5"/>
    <x v="1"/>
    <x v="1"/>
    <n v="3"/>
    <n v="2"/>
    <n v="0"/>
    <n v="2.1"/>
    <x v="8"/>
  </r>
  <r>
    <x v="6"/>
    <x v="3"/>
    <x v="3"/>
    <x v="2"/>
    <x v="5"/>
    <x v="0"/>
    <n v="4"/>
    <n v="4"/>
    <n v="0"/>
    <n v="2.2000000000000002"/>
    <x v="6"/>
  </r>
  <r>
    <x v="8"/>
    <x v="4"/>
    <x v="4"/>
    <x v="2"/>
    <x v="5"/>
    <x v="0"/>
    <n v="4"/>
    <n v="4"/>
    <n v="1"/>
    <n v="3.4"/>
    <x v="8"/>
  </r>
  <r>
    <x v="4"/>
    <x v="0"/>
    <x v="0"/>
    <x v="2"/>
    <x v="5"/>
    <x v="1"/>
    <n v="8"/>
    <n v="8"/>
    <n v="0"/>
    <n v="5.6"/>
    <x v="4"/>
  </r>
  <r>
    <x v="7"/>
    <x v="6"/>
    <x v="7"/>
    <x v="3"/>
    <x v="5"/>
    <x v="0"/>
    <n v="5"/>
    <n v="5"/>
    <n v="0"/>
    <n v="3.3"/>
    <x v="7"/>
  </r>
  <r>
    <x v="2"/>
    <x v="4"/>
    <x v="11"/>
    <x v="0"/>
    <x v="3"/>
    <x v="1"/>
    <n v="6"/>
    <n v="6"/>
    <n v="1"/>
    <n v="5"/>
    <x v="2"/>
  </r>
  <r>
    <x v="0"/>
    <x v="7"/>
    <x v="9"/>
    <x v="5"/>
    <x v="2"/>
    <x v="1"/>
    <n v="2"/>
    <n v="1"/>
    <n v="0"/>
    <n v="3.4"/>
    <x v="0"/>
  </r>
  <r>
    <x v="0"/>
    <x v="1"/>
    <x v="1"/>
    <x v="4"/>
    <x v="1"/>
    <x v="0"/>
    <n v="3"/>
    <n v="3"/>
    <n v="0"/>
    <n v="3.9"/>
    <x v="0"/>
  </r>
  <r>
    <x v="8"/>
    <x v="5"/>
    <x v="5"/>
    <x v="4"/>
    <x v="1"/>
    <x v="0"/>
    <n v="6"/>
    <n v="5"/>
    <n v="0"/>
    <n v="2.8"/>
    <x v="8"/>
  </r>
  <r>
    <x v="4"/>
    <x v="9"/>
    <x v="14"/>
    <x v="5"/>
    <x v="3"/>
    <x v="1"/>
    <n v="4"/>
    <n v="4"/>
    <n v="0"/>
    <n v="2.8"/>
    <x v="4"/>
  </r>
  <r>
    <x v="2"/>
    <x v="7"/>
    <x v="13"/>
    <x v="2"/>
    <x v="2"/>
    <x v="1"/>
    <n v="6"/>
    <n v="6"/>
    <n v="0"/>
    <n v="4.5"/>
    <x v="2"/>
  </r>
  <r>
    <x v="1"/>
    <x v="3"/>
    <x v="3"/>
    <x v="5"/>
    <x v="0"/>
    <x v="0"/>
    <n v="5"/>
    <n v="3"/>
    <n v="0"/>
    <n v="4.3"/>
    <x v="1"/>
  </r>
  <r>
    <x v="1"/>
    <x v="4"/>
    <x v="4"/>
    <x v="5"/>
    <x v="2"/>
    <x v="0"/>
    <n v="3"/>
    <n v="3"/>
    <n v="0"/>
    <n v="2.2999999999999998"/>
    <x v="1"/>
  </r>
  <r>
    <x v="6"/>
    <x v="4"/>
    <x v="4"/>
    <x v="4"/>
    <x v="5"/>
    <x v="0"/>
    <n v="8"/>
    <n v="7"/>
    <n v="0"/>
    <n v="2.5"/>
    <x v="6"/>
  </r>
  <r>
    <x v="8"/>
    <x v="4"/>
    <x v="4"/>
    <x v="0"/>
    <x v="1"/>
    <x v="0"/>
    <n v="6"/>
    <n v="6"/>
    <n v="1"/>
    <n v="1.6"/>
    <x v="8"/>
  </r>
  <r>
    <x v="5"/>
    <x v="5"/>
    <x v="6"/>
    <x v="4"/>
    <x v="0"/>
    <x v="1"/>
    <n v="6"/>
    <n v="6"/>
    <n v="0"/>
    <n v="2.1"/>
    <x v="5"/>
  </r>
  <r>
    <x v="1"/>
    <x v="9"/>
    <x v="14"/>
    <x v="0"/>
    <x v="4"/>
    <x v="0"/>
    <n v="3"/>
    <n v="3"/>
    <n v="0"/>
    <n v="2.9"/>
    <x v="1"/>
  </r>
  <r>
    <x v="7"/>
    <x v="4"/>
    <x v="4"/>
    <x v="1"/>
    <x v="0"/>
    <x v="1"/>
    <n v="7"/>
    <n v="6"/>
    <n v="0"/>
    <n v="0.9"/>
    <x v="7"/>
  </r>
  <r>
    <x v="5"/>
    <x v="2"/>
    <x v="2"/>
    <x v="1"/>
    <x v="3"/>
    <x v="0"/>
    <n v="7"/>
    <n v="6"/>
    <n v="0"/>
    <n v="2.8"/>
    <x v="5"/>
  </r>
  <r>
    <x v="3"/>
    <x v="2"/>
    <x v="19"/>
    <x v="0"/>
    <x v="2"/>
    <x v="1"/>
    <n v="4"/>
    <n v="4"/>
    <n v="0"/>
    <n v="3.4"/>
    <x v="3"/>
  </r>
  <r>
    <x v="1"/>
    <x v="4"/>
    <x v="4"/>
    <x v="0"/>
    <x v="3"/>
    <x v="0"/>
    <n v="7"/>
    <n v="5"/>
    <n v="0"/>
    <n v="3.1"/>
    <x v="1"/>
  </r>
  <r>
    <x v="3"/>
    <x v="3"/>
    <x v="15"/>
    <x v="4"/>
    <x v="4"/>
    <x v="0"/>
    <n v="6"/>
    <n v="5"/>
    <n v="0"/>
    <n v="3"/>
    <x v="3"/>
  </r>
  <r>
    <x v="1"/>
    <x v="0"/>
    <x v="12"/>
    <x v="3"/>
    <x v="4"/>
    <x v="0"/>
    <n v="7"/>
    <n v="6"/>
    <n v="0"/>
    <n v="1.6"/>
    <x v="1"/>
  </r>
  <r>
    <x v="11"/>
    <x v="9"/>
    <x v="14"/>
    <x v="5"/>
    <x v="3"/>
    <x v="1"/>
    <n v="4"/>
    <n v="4"/>
    <n v="0"/>
    <n v="3.7"/>
    <x v="11"/>
  </r>
  <r>
    <x v="8"/>
    <x v="4"/>
    <x v="4"/>
    <x v="2"/>
    <x v="1"/>
    <x v="1"/>
    <n v="5"/>
    <n v="3"/>
    <n v="0"/>
    <n v="2.2999999999999998"/>
    <x v="8"/>
  </r>
  <r>
    <x v="2"/>
    <x v="3"/>
    <x v="3"/>
    <x v="1"/>
    <x v="3"/>
    <x v="1"/>
    <n v="4"/>
    <n v="2"/>
    <n v="0"/>
    <n v="3.5"/>
    <x v="2"/>
  </r>
  <r>
    <x v="9"/>
    <x v="7"/>
    <x v="9"/>
    <x v="2"/>
    <x v="3"/>
    <x v="1"/>
    <n v="4"/>
    <n v="3"/>
    <n v="0"/>
    <n v="2.8"/>
    <x v="9"/>
  </r>
  <r>
    <x v="9"/>
    <x v="7"/>
    <x v="9"/>
    <x v="4"/>
    <x v="2"/>
    <x v="0"/>
    <n v="6"/>
    <n v="6"/>
    <n v="0"/>
    <n v="1.5"/>
    <x v="9"/>
  </r>
  <r>
    <x v="8"/>
    <x v="9"/>
    <x v="17"/>
    <x v="1"/>
    <x v="1"/>
    <x v="1"/>
    <n v="3"/>
    <n v="2"/>
    <n v="0"/>
    <n v="1.7"/>
    <x v="8"/>
  </r>
  <r>
    <x v="6"/>
    <x v="8"/>
    <x v="10"/>
    <x v="4"/>
    <x v="1"/>
    <x v="0"/>
    <n v="4"/>
    <n v="3"/>
    <n v="0"/>
    <n v="2.6"/>
    <x v="6"/>
  </r>
  <r>
    <x v="1"/>
    <x v="0"/>
    <x v="0"/>
    <x v="5"/>
    <x v="3"/>
    <x v="1"/>
    <n v="6"/>
    <n v="6"/>
    <n v="0"/>
    <n v="2.4"/>
    <x v="1"/>
  </r>
  <r>
    <x v="3"/>
    <x v="9"/>
    <x v="17"/>
    <x v="2"/>
    <x v="4"/>
    <x v="0"/>
    <n v="4"/>
    <n v="4"/>
    <n v="1"/>
    <n v="4.5"/>
    <x v="3"/>
  </r>
  <r>
    <x v="5"/>
    <x v="1"/>
    <x v="16"/>
    <x v="3"/>
    <x v="5"/>
    <x v="0"/>
    <n v="2"/>
    <n v="2"/>
    <n v="0"/>
    <n v="1.9"/>
    <x v="5"/>
  </r>
  <r>
    <x v="1"/>
    <x v="3"/>
    <x v="15"/>
    <x v="2"/>
    <x v="4"/>
    <x v="1"/>
    <n v="2"/>
    <n v="2"/>
    <n v="0"/>
    <n v="5.9"/>
    <x v="1"/>
  </r>
  <r>
    <x v="7"/>
    <x v="4"/>
    <x v="4"/>
    <x v="2"/>
    <x v="1"/>
    <x v="0"/>
    <n v="5"/>
    <n v="4"/>
    <n v="0"/>
    <n v="3.3"/>
    <x v="7"/>
  </r>
  <r>
    <x v="1"/>
    <x v="1"/>
    <x v="1"/>
    <x v="1"/>
    <x v="5"/>
    <x v="1"/>
    <n v="5"/>
    <n v="5"/>
    <n v="1"/>
    <n v="2.1"/>
    <x v="1"/>
  </r>
  <r>
    <x v="5"/>
    <x v="6"/>
    <x v="8"/>
    <x v="2"/>
    <x v="2"/>
    <x v="1"/>
    <n v="7"/>
    <n v="7"/>
    <n v="0"/>
    <n v="3.2"/>
    <x v="5"/>
  </r>
  <r>
    <x v="10"/>
    <x v="5"/>
    <x v="6"/>
    <x v="1"/>
    <x v="3"/>
    <x v="1"/>
    <n v="7"/>
    <n v="6"/>
    <n v="0"/>
    <n v="2.6"/>
    <x v="10"/>
  </r>
  <r>
    <x v="5"/>
    <x v="4"/>
    <x v="11"/>
    <x v="3"/>
    <x v="2"/>
    <x v="1"/>
    <n v="5"/>
    <n v="5"/>
    <n v="1"/>
    <n v="3.6"/>
    <x v="5"/>
  </r>
  <r>
    <x v="11"/>
    <x v="5"/>
    <x v="5"/>
    <x v="0"/>
    <x v="2"/>
    <x v="1"/>
    <n v="2"/>
    <n v="2"/>
    <n v="0"/>
    <n v="2.2000000000000002"/>
    <x v="11"/>
  </r>
  <r>
    <x v="9"/>
    <x v="1"/>
    <x v="1"/>
    <x v="0"/>
    <x v="1"/>
    <x v="0"/>
    <n v="5"/>
    <n v="5"/>
    <n v="0"/>
    <n v="2.7"/>
    <x v="9"/>
  </r>
  <r>
    <x v="0"/>
    <x v="8"/>
    <x v="18"/>
    <x v="3"/>
    <x v="1"/>
    <x v="1"/>
    <n v="7"/>
    <n v="7"/>
    <n v="0"/>
    <n v="3.6"/>
    <x v="0"/>
  </r>
  <r>
    <x v="5"/>
    <x v="0"/>
    <x v="0"/>
    <x v="2"/>
    <x v="1"/>
    <x v="1"/>
    <n v="5"/>
    <n v="4"/>
    <n v="0"/>
    <n v="3.5"/>
    <x v="5"/>
  </r>
  <r>
    <x v="11"/>
    <x v="0"/>
    <x v="12"/>
    <x v="0"/>
    <x v="2"/>
    <x v="0"/>
    <n v="2"/>
    <n v="2"/>
    <n v="0"/>
    <n v="-0.3"/>
    <x v="11"/>
  </r>
  <r>
    <x v="11"/>
    <x v="8"/>
    <x v="18"/>
    <x v="1"/>
    <x v="2"/>
    <x v="0"/>
    <n v="2"/>
    <n v="2"/>
    <n v="0"/>
    <n v="4.2"/>
    <x v="11"/>
  </r>
  <r>
    <x v="0"/>
    <x v="1"/>
    <x v="1"/>
    <x v="3"/>
    <x v="2"/>
    <x v="0"/>
    <n v="6"/>
    <n v="6"/>
    <n v="0"/>
    <n v="2.9"/>
    <x v="0"/>
  </r>
  <r>
    <x v="5"/>
    <x v="1"/>
    <x v="1"/>
    <x v="1"/>
    <x v="1"/>
    <x v="0"/>
    <n v="11"/>
    <n v="9"/>
    <n v="1"/>
    <n v="3.1"/>
    <x v="5"/>
  </r>
  <r>
    <x v="6"/>
    <x v="4"/>
    <x v="11"/>
    <x v="0"/>
    <x v="1"/>
    <x v="1"/>
    <n v="6"/>
    <n v="6"/>
    <n v="0"/>
    <n v="3.2"/>
    <x v="6"/>
  </r>
  <r>
    <x v="4"/>
    <x v="5"/>
    <x v="6"/>
    <x v="3"/>
    <x v="5"/>
    <x v="1"/>
    <n v="4"/>
    <n v="4"/>
    <n v="0"/>
    <n v="4.2"/>
    <x v="4"/>
  </r>
  <r>
    <x v="8"/>
    <x v="5"/>
    <x v="6"/>
    <x v="3"/>
    <x v="4"/>
    <x v="1"/>
    <n v="4"/>
    <n v="4"/>
    <n v="0"/>
    <n v="2.1"/>
    <x v="8"/>
  </r>
  <r>
    <x v="1"/>
    <x v="6"/>
    <x v="7"/>
    <x v="4"/>
    <x v="4"/>
    <x v="1"/>
    <n v="5"/>
    <n v="5"/>
    <n v="0"/>
    <n v="3.3"/>
    <x v="1"/>
  </r>
  <r>
    <x v="11"/>
    <x v="5"/>
    <x v="5"/>
    <x v="1"/>
    <x v="3"/>
    <x v="0"/>
    <n v="6"/>
    <n v="6"/>
    <n v="2"/>
    <n v="4"/>
    <x v="11"/>
  </r>
  <r>
    <x v="6"/>
    <x v="5"/>
    <x v="6"/>
    <x v="0"/>
    <x v="0"/>
    <x v="0"/>
    <n v="2"/>
    <n v="1"/>
    <n v="0"/>
    <n v="1.3"/>
    <x v="6"/>
  </r>
  <r>
    <x v="11"/>
    <x v="3"/>
    <x v="3"/>
    <x v="5"/>
    <x v="1"/>
    <x v="0"/>
    <n v="11"/>
    <n v="11"/>
    <n v="0"/>
    <n v="0.6"/>
    <x v="11"/>
  </r>
  <r>
    <x v="9"/>
    <x v="6"/>
    <x v="7"/>
    <x v="2"/>
    <x v="4"/>
    <x v="1"/>
    <n v="5"/>
    <n v="4"/>
    <n v="0"/>
    <n v="3.2"/>
    <x v="9"/>
  </r>
  <r>
    <x v="2"/>
    <x v="4"/>
    <x v="4"/>
    <x v="3"/>
    <x v="2"/>
    <x v="0"/>
    <n v="4"/>
    <n v="4"/>
    <n v="0"/>
    <n v="2.2999999999999998"/>
    <x v="2"/>
  </r>
  <r>
    <x v="8"/>
    <x v="9"/>
    <x v="14"/>
    <x v="3"/>
    <x v="5"/>
    <x v="0"/>
    <n v="4"/>
    <n v="4"/>
    <n v="1"/>
    <n v="2.6"/>
    <x v="8"/>
  </r>
  <r>
    <x v="10"/>
    <x v="2"/>
    <x v="19"/>
    <x v="3"/>
    <x v="2"/>
    <x v="0"/>
    <n v="3"/>
    <n v="3"/>
    <n v="0"/>
    <n v="2.1"/>
    <x v="10"/>
  </r>
  <r>
    <x v="0"/>
    <x v="0"/>
    <x v="0"/>
    <x v="3"/>
    <x v="0"/>
    <x v="0"/>
    <n v="6"/>
    <n v="5"/>
    <n v="0"/>
    <n v="2.2999999999999998"/>
    <x v="0"/>
  </r>
  <r>
    <x v="7"/>
    <x v="9"/>
    <x v="17"/>
    <x v="4"/>
    <x v="5"/>
    <x v="0"/>
    <n v="4"/>
    <n v="4"/>
    <n v="0"/>
    <n v="2.9"/>
    <x v="7"/>
  </r>
  <r>
    <x v="6"/>
    <x v="4"/>
    <x v="4"/>
    <x v="5"/>
    <x v="1"/>
    <x v="1"/>
    <n v="8"/>
    <n v="8"/>
    <n v="0"/>
    <n v="3.3"/>
    <x v="6"/>
  </r>
  <r>
    <x v="9"/>
    <x v="4"/>
    <x v="11"/>
    <x v="4"/>
    <x v="4"/>
    <x v="0"/>
    <n v="5"/>
    <n v="4"/>
    <n v="0"/>
    <n v="3.1"/>
    <x v="9"/>
  </r>
  <r>
    <x v="10"/>
    <x v="1"/>
    <x v="16"/>
    <x v="0"/>
    <x v="0"/>
    <x v="1"/>
    <n v="5"/>
    <n v="5"/>
    <n v="1"/>
    <n v="2.9"/>
    <x v="10"/>
  </r>
  <r>
    <x v="6"/>
    <x v="4"/>
    <x v="11"/>
    <x v="3"/>
    <x v="3"/>
    <x v="1"/>
    <n v="6"/>
    <n v="6"/>
    <n v="0"/>
    <n v="1.2"/>
    <x v="6"/>
  </r>
  <r>
    <x v="7"/>
    <x v="5"/>
    <x v="6"/>
    <x v="0"/>
    <x v="4"/>
    <x v="1"/>
    <n v="4"/>
    <n v="4"/>
    <n v="1"/>
    <n v="2.2999999999999998"/>
    <x v="7"/>
  </r>
  <r>
    <x v="7"/>
    <x v="0"/>
    <x v="12"/>
    <x v="2"/>
    <x v="2"/>
    <x v="0"/>
    <n v="5"/>
    <n v="5"/>
    <n v="1"/>
    <n v="2.9"/>
    <x v="7"/>
  </r>
  <r>
    <x v="1"/>
    <x v="5"/>
    <x v="5"/>
    <x v="4"/>
    <x v="1"/>
    <x v="1"/>
    <n v="5"/>
    <n v="5"/>
    <n v="0"/>
    <n v="3.8"/>
    <x v="1"/>
  </r>
  <r>
    <x v="10"/>
    <x v="4"/>
    <x v="4"/>
    <x v="4"/>
    <x v="0"/>
    <x v="1"/>
    <n v="4"/>
    <n v="4"/>
    <n v="0"/>
    <n v="1"/>
    <x v="10"/>
  </r>
  <r>
    <x v="10"/>
    <x v="1"/>
    <x v="16"/>
    <x v="4"/>
    <x v="4"/>
    <x v="0"/>
    <n v="8"/>
    <n v="7"/>
    <n v="1"/>
    <n v="3.5"/>
    <x v="10"/>
  </r>
  <r>
    <x v="3"/>
    <x v="4"/>
    <x v="11"/>
    <x v="5"/>
    <x v="1"/>
    <x v="0"/>
    <n v="4"/>
    <n v="4"/>
    <n v="0"/>
    <n v="4.7"/>
    <x v="3"/>
  </r>
  <r>
    <x v="1"/>
    <x v="3"/>
    <x v="15"/>
    <x v="3"/>
    <x v="4"/>
    <x v="1"/>
    <n v="4"/>
    <n v="3"/>
    <n v="0"/>
    <n v="2.1"/>
    <x v="1"/>
  </r>
  <r>
    <x v="8"/>
    <x v="5"/>
    <x v="6"/>
    <x v="0"/>
    <x v="2"/>
    <x v="1"/>
    <n v="8"/>
    <n v="8"/>
    <n v="0"/>
    <n v="2"/>
    <x v="8"/>
  </r>
  <r>
    <x v="0"/>
    <x v="5"/>
    <x v="6"/>
    <x v="4"/>
    <x v="1"/>
    <x v="1"/>
    <n v="2"/>
    <n v="2"/>
    <n v="0"/>
    <n v="3.5"/>
    <x v="0"/>
  </r>
  <r>
    <x v="9"/>
    <x v="5"/>
    <x v="5"/>
    <x v="0"/>
    <x v="5"/>
    <x v="1"/>
    <n v="8"/>
    <n v="8"/>
    <n v="1"/>
    <n v="3.3"/>
    <x v="9"/>
  </r>
  <r>
    <x v="2"/>
    <x v="0"/>
    <x v="0"/>
    <x v="0"/>
    <x v="1"/>
    <x v="1"/>
    <n v="7"/>
    <n v="7"/>
    <n v="0"/>
    <n v="4.7"/>
    <x v="2"/>
  </r>
  <r>
    <x v="7"/>
    <x v="2"/>
    <x v="2"/>
    <x v="3"/>
    <x v="1"/>
    <x v="0"/>
    <n v="7"/>
    <n v="7"/>
    <n v="1"/>
    <n v="4.2"/>
    <x v="7"/>
  </r>
  <r>
    <x v="1"/>
    <x v="8"/>
    <x v="18"/>
    <x v="1"/>
    <x v="0"/>
    <x v="1"/>
    <n v="2"/>
    <n v="1"/>
    <n v="0"/>
    <n v="3"/>
    <x v="1"/>
  </r>
  <r>
    <x v="5"/>
    <x v="5"/>
    <x v="6"/>
    <x v="0"/>
    <x v="2"/>
    <x v="1"/>
    <n v="3"/>
    <n v="3"/>
    <n v="0"/>
    <n v="3.5"/>
    <x v="5"/>
  </r>
  <r>
    <x v="9"/>
    <x v="0"/>
    <x v="0"/>
    <x v="1"/>
    <x v="4"/>
    <x v="1"/>
    <n v="6"/>
    <n v="5"/>
    <n v="0"/>
    <n v="3.6"/>
    <x v="9"/>
  </r>
  <r>
    <x v="8"/>
    <x v="6"/>
    <x v="8"/>
    <x v="2"/>
    <x v="0"/>
    <x v="0"/>
    <n v="3"/>
    <n v="3"/>
    <n v="0"/>
    <n v="3.4"/>
    <x v="8"/>
  </r>
  <r>
    <x v="10"/>
    <x v="9"/>
    <x v="14"/>
    <x v="5"/>
    <x v="1"/>
    <x v="1"/>
    <n v="4"/>
    <n v="3"/>
    <n v="0"/>
    <n v="1.6"/>
    <x v="10"/>
  </r>
  <r>
    <x v="1"/>
    <x v="3"/>
    <x v="15"/>
    <x v="1"/>
    <x v="0"/>
    <x v="1"/>
    <n v="3"/>
    <n v="3"/>
    <n v="0"/>
    <n v="2.4"/>
    <x v="1"/>
  </r>
  <r>
    <x v="8"/>
    <x v="9"/>
    <x v="14"/>
    <x v="5"/>
    <x v="2"/>
    <x v="0"/>
    <n v="5"/>
    <n v="5"/>
    <n v="0"/>
    <n v="2.2999999999999998"/>
    <x v="8"/>
  </r>
  <r>
    <x v="10"/>
    <x v="1"/>
    <x v="16"/>
    <x v="0"/>
    <x v="4"/>
    <x v="1"/>
    <n v="3"/>
    <n v="2"/>
    <n v="0"/>
    <n v="1.4"/>
    <x v="10"/>
  </r>
  <r>
    <x v="2"/>
    <x v="7"/>
    <x v="9"/>
    <x v="0"/>
    <x v="1"/>
    <x v="1"/>
    <n v="3"/>
    <n v="3"/>
    <n v="0"/>
    <n v="4.0999999999999996"/>
    <x v="2"/>
  </r>
  <r>
    <x v="2"/>
    <x v="1"/>
    <x v="1"/>
    <x v="5"/>
    <x v="0"/>
    <x v="1"/>
    <n v="2"/>
    <n v="2"/>
    <n v="0"/>
    <n v="3.1"/>
    <x v="2"/>
  </r>
  <r>
    <x v="2"/>
    <x v="4"/>
    <x v="4"/>
    <x v="3"/>
    <x v="3"/>
    <x v="0"/>
    <n v="6"/>
    <n v="6"/>
    <n v="1"/>
    <n v="3.5"/>
    <x v="2"/>
  </r>
  <r>
    <x v="5"/>
    <x v="2"/>
    <x v="19"/>
    <x v="0"/>
    <x v="1"/>
    <x v="0"/>
    <n v="4"/>
    <n v="3"/>
    <n v="0"/>
    <n v="4.9000000000000004"/>
    <x v="5"/>
  </r>
  <r>
    <x v="2"/>
    <x v="4"/>
    <x v="11"/>
    <x v="2"/>
    <x v="5"/>
    <x v="1"/>
    <n v="7"/>
    <n v="7"/>
    <n v="0"/>
    <n v="3.3"/>
    <x v="2"/>
  </r>
  <r>
    <x v="11"/>
    <x v="1"/>
    <x v="16"/>
    <x v="3"/>
    <x v="0"/>
    <x v="0"/>
    <n v="4"/>
    <n v="4"/>
    <n v="0"/>
    <n v="3"/>
    <x v="11"/>
  </r>
  <r>
    <x v="6"/>
    <x v="5"/>
    <x v="5"/>
    <x v="2"/>
    <x v="0"/>
    <x v="0"/>
    <n v="2"/>
    <n v="2"/>
    <n v="0"/>
    <n v="3.2"/>
    <x v="6"/>
  </r>
  <r>
    <x v="4"/>
    <x v="1"/>
    <x v="1"/>
    <x v="4"/>
    <x v="1"/>
    <x v="1"/>
    <n v="3"/>
    <n v="3"/>
    <n v="0"/>
    <n v="1.8"/>
    <x v="4"/>
  </r>
  <r>
    <x v="4"/>
    <x v="7"/>
    <x v="13"/>
    <x v="3"/>
    <x v="4"/>
    <x v="0"/>
    <n v="5"/>
    <n v="5"/>
    <n v="0"/>
    <n v="3.4"/>
    <x v="4"/>
  </r>
  <r>
    <x v="0"/>
    <x v="4"/>
    <x v="11"/>
    <x v="2"/>
    <x v="3"/>
    <x v="1"/>
    <n v="3"/>
    <n v="3"/>
    <n v="0"/>
    <n v="2.6"/>
    <x v="0"/>
  </r>
  <r>
    <x v="0"/>
    <x v="3"/>
    <x v="15"/>
    <x v="5"/>
    <x v="5"/>
    <x v="0"/>
    <n v="3"/>
    <n v="3"/>
    <n v="0"/>
    <n v="3.3"/>
    <x v="0"/>
  </r>
  <r>
    <x v="0"/>
    <x v="0"/>
    <x v="12"/>
    <x v="4"/>
    <x v="4"/>
    <x v="0"/>
    <n v="6"/>
    <n v="5"/>
    <n v="0"/>
    <n v="3.8"/>
    <x v="0"/>
  </r>
  <r>
    <x v="9"/>
    <x v="8"/>
    <x v="18"/>
    <x v="5"/>
    <x v="4"/>
    <x v="0"/>
    <n v="6"/>
    <n v="6"/>
    <n v="0"/>
    <n v="4.9000000000000004"/>
    <x v="9"/>
  </r>
  <r>
    <x v="3"/>
    <x v="3"/>
    <x v="3"/>
    <x v="0"/>
    <x v="2"/>
    <x v="0"/>
    <n v="4"/>
    <n v="4"/>
    <n v="0"/>
    <n v="2.9"/>
    <x v="3"/>
  </r>
  <r>
    <x v="7"/>
    <x v="3"/>
    <x v="15"/>
    <x v="2"/>
    <x v="2"/>
    <x v="0"/>
    <n v="6"/>
    <n v="6"/>
    <n v="0"/>
    <n v="1.3"/>
    <x v="7"/>
  </r>
  <r>
    <x v="5"/>
    <x v="0"/>
    <x v="12"/>
    <x v="5"/>
    <x v="5"/>
    <x v="1"/>
    <n v="7"/>
    <n v="7"/>
    <n v="2"/>
    <n v="2.6"/>
    <x v="5"/>
  </r>
  <r>
    <x v="0"/>
    <x v="3"/>
    <x v="15"/>
    <x v="5"/>
    <x v="1"/>
    <x v="0"/>
    <n v="5"/>
    <n v="4"/>
    <n v="0"/>
    <n v="3.7"/>
    <x v="0"/>
  </r>
  <r>
    <x v="5"/>
    <x v="8"/>
    <x v="18"/>
    <x v="1"/>
    <x v="3"/>
    <x v="0"/>
    <n v="5"/>
    <n v="5"/>
    <n v="1"/>
    <n v="3.5"/>
    <x v="5"/>
  </r>
  <r>
    <x v="3"/>
    <x v="3"/>
    <x v="15"/>
    <x v="0"/>
    <x v="4"/>
    <x v="1"/>
    <n v="4"/>
    <n v="4"/>
    <n v="1"/>
    <n v="2.7"/>
    <x v="3"/>
  </r>
  <r>
    <x v="9"/>
    <x v="7"/>
    <x v="13"/>
    <x v="0"/>
    <x v="5"/>
    <x v="1"/>
    <n v="3"/>
    <n v="3"/>
    <n v="0"/>
    <n v="3.1"/>
    <x v="9"/>
  </r>
  <r>
    <x v="8"/>
    <x v="4"/>
    <x v="11"/>
    <x v="3"/>
    <x v="2"/>
    <x v="1"/>
    <n v="5"/>
    <n v="4"/>
    <n v="0"/>
    <n v="2.2999999999999998"/>
    <x v="8"/>
  </r>
  <r>
    <x v="10"/>
    <x v="5"/>
    <x v="6"/>
    <x v="0"/>
    <x v="0"/>
    <x v="0"/>
    <n v="6"/>
    <n v="4"/>
    <n v="0"/>
    <n v="2.7"/>
    <x v="10"/>
  </r>
  <r>
    <x v="4"/>
    <x v="5"/>
    <x v="6"/>
    <x v="5"/>
    <x v="3"/>
    <x v="1"/>
    <n v="4"/>
    <n v="4"/>
    <n v="0"/>
    <n v="2.2999999999999998"/>
    <x v="4"/>
  </r>
  <r>
    <x v="8"/>
    <x v="8"/>
    <x v="10"/>
    <x v="3"/>
    <x v="3"/>
    <x v="1"/>
    <n v="5"/>
    <n v="4"/>
    <n v="2"/>
    <n v="2.7"/>
    <x v="8"/>
  </r>
  <r>
    <x v="2"/>
    <x v="5"/>
    <x v="5"/>
    <x v="5"/>
    <x v="5"/>
    <x v="0"/>
    <n v="3"/>
    <n v="2"/>
    <n v="0"/>
    <n v="3"/>
    <x v="2"/>
  </r>
  <r>
    <x v="10"/>
    <x v="8"/>
    <x v="10"/>
    <x v="5"/>
    <x v="5"/>
    <x v="0"/>
    <n v="12"/>
    <n v="12"/>
    <n v="0"/>
    <n v="4.3"/>
    <x v="10"/>
  </r>
  <r>
    <x v="11"/>
    <x v="2"/>
    <x v="2"/>
    <x v="2"/>
    <x v="4"/>
    <x v="1"/>
    <n v="3"/>
    <n v="3"/>
    <n v="0"/>
    <n v="3.1"/>
    <x v="11"/>
  </r>
  <r>
    <x v="10"/>
    <x v="3"/>
    <x v="3"/>
    <x v="0"/>
    <x v="0"/>
    <x v="0"/>
    <n v="4"/>
    <n v="2"/>
    <n v="0"/>
    <n v="2.4"/>
    <x v="10"/>
  </r>
  <r>
    <x v="2"/>
    <x v="6"/>
    <x v="7"/>
    <x v="3"/>
    <x v="2"/>
    <x v="0"/>
    <n v="6"/>
    <n v="6"/>
    <n v="0"/>
    <n v="2.5"/>
    <x v="2"/>
  </r>
  <r>
    <x v="5"/>
    <x v="6"/>
    <x v="8"/>
    <x v="3"/>
    <x v="1"/>
    <x v="1"/>
    <n v="8"/>
    <n v="6"/>
    <n v="0"/>
    <n v="1.1000000000000001"/>
    <x v="5"/>
  </r>
  <r>
    <x v="10"/>
    <x v="9"/>
    <x v="17"/>
    <x v="2"/>
    <x v="4"/>
    <x v="1"/>
    <n v="7"/>
    <n v="7"/>
    <n v="0"/>
    <n v="3.8"/>
    <x v="10"/>
  </r>
  <r>
    <x v="4"/>
    <x v="2"/>
    <x v="2"/>
    <x v="2"/>
    <x v="1"/>
    <x v="0"/>
    <n v="5"/>
    <n v="4"/>
    <n v="0"/>
    <n v="2.9"/>
    <x v="4"/>
  </r>
  <r>
    <x v="11"/>
    <x v="4"/>
    <x v="11"/>
    <x v="2"/>
    <x v="2"/>
    <x v="0"/>
    <n v="8"/>
    <n v="8"/>
    <n v="1"/>
    <n v="2.2000000000000002"/>
    <x v="11"/>
  </r>
  <r>
    <x v="4"/>
    <x v="7"/>
    <x v="13"/>
    <x v="2"/>
    <x v="1"/>
    <x v="0"/>
    <n v="6"/>
    <n v="6"/>
    <n v="0"/>
    <n v="1.7"/>
    <x v="4"/>
  </r>
  <r>
    <x v="1"/>
    <x v="3"/>
    <x v="3"/>
    <x v="0"/>
    <x v="0"/>
    <x v="0"/>
    <n v="8"/>
    <n v="8"/>
    <n v="0"/>
    <n v="3.1"/>
    <x v="1"/>
  </r>
  <r>
    <x v="2"/>
    <x v="4"/>
    <x v="4"/>
    <x v="3"/>
    <x v="2"/>
    <x v="0"/>
    <n v="4"/>
    <n v="4"/>
    <n v="0"/>
    <n v="1.7"/>
    <x v="2"/>
  </r>
  <r>
    <x v="2"/>
    <x v="8"/>
    <x v="18"/>
    <x v="0"/>
    <x v="0"/>
    <x v="1"/>
    <n v="6"/>
    <n v="3"/>
    <n v="0"/>
    <n v="3.9"/>
    <x v="2"/>
  </r>
  <r>
    <x v="1"/>
    <x v="0"/>
    <x v="0"/>
    <x v="1"/>
    <x v="4"/>
    <x v="0"/>
    <n v="6"/>
    <n v="5"/>
    <n v="1"/>
    <n v="2.5"/>
    <x v="1"/>
  </r>
  <r>
    <x v="9"/>
    <x v="1"/>
    <x v="1"/>
    <x v="5"/>
    <x v="5"/>
    <x v="0"/>
    <n v="4"/>
    <n v="4"/>
    <n v="0"/>
    <n v="2.6"/>
    <x v="9"/>
  </r>
  <r>
    <x v="10"/>
    <x v="9"/>
    <x v="17"/>
    <x v="4"/>
    <x v="0"/>
    <x v="0"/>
    <n v="5"/>
    <n v="5"/>
    <n v="1"/>
    <n v="2.6"/>
    <x v="10"/>
  </r>
  <r>
    <x v="11"/>
    <x v="4"/>
    <x v="4"/>
    <x v="3"/>
    <x v="3"/>
    <x v="0"/>
    <n v="6"/>
    <n v="6"/>
    <n v="0"/>
    <n v="3.5"/>
    <x v="11"/>
  </r>
  <r>
    <x v="2"/>
    <x v="6"/>
    <x v="7"/>
    <x v="0"/>
    <x v="2"/>
    <x v="0"/>
    <n v="2"/>
    <n v="1"/>
    <n v="0"/>
    <n v="3.6"/>
    <x v="2"/>
  </r>
  <r>
    <x v="7"/>
    <x v="7"/>
    <x v="13"/>
    <x v="3"/>
    <x v="1"/>
    <x v="0"/>
    <n v="7"/>
    <n v="7"/>
    <n v="1"/>
    <n v="0.3"/>
    <x v="7"/>
  </r>
  <r>
    <x v="1"/>
    <x v="4"/>
    <x v="4"/>
    <x v="4"/>
    <x v="3"/>
    <x v="1"/>
    <n v="4"/>
    <n v="4"/>
    <n v="0"/>
    <n v="3"/>
    <x v="1"/>
  </r>
  <r>
    <x v="0"/>
    <x v="6"/>
    <x v="7"/>
    <x v="3"/>
    <x v="1"/>
    <x v="0"/>
    <n v="6"/>
    <n v="5"/>
    <n v="1"/>
    <n v="2.2000000000000002"/>
    <x v="0"/>
  </r>
  <r>
    <x v="9"/>
    <x v="1"/>
    <x v="16"/>
    <x v="2"/>
    <x v="1"/>
    <x v="0"/>
    <n v="4"/>
    <n v="3"/>
    <n v="0"/>
    <n v="3.2"/>
    <x v="9"/>
  </r>
  <r>
    <x v="9"/>
    <x v="5"/>
    <x v="6"/>
    <x v="2"/>
    <x v="2"/>
    <x v="0"/>
    <n v="10"/>
    <n v="9"/>
    <n v="1"/>
    <n v="3.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97C228-8D09-488C-BD14-6A8CCA1B5F9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15" firstHeaderRow="1" firstDataRow="1" firstDataCol="1"/>
  <pivotFields count="11">
    <pivotField showAll="0" sortType="ascending">
      <items count="13">
        <item x="4"/>
        <item x="6"/>
        <item x="5"/>
        <item x="0"/>
        <item x="7"/>
        <item x="1"/>
        <item x="8"/>
        <item x="3"/>
        <item x="10"/>
        <item x="2"/>
        <item x="11"/>
        <item x="9"/>
        <item t="default"/>
      </items>
    </pivotField>
    <pivotField showAll="0"/>
    <pivotField showAll="0">
      <items count="21">
        <item x="17"/>
        <item x="2"/>
        <item x="8"/>
        <item x="0"/>
        <item x="5"/>
        <item x="10"/>
        <item x="4"/>
        <item x="15"/>
        <item x="3"/>
        <item x="9"/>
        <item x="7"/>
        <item x="1"/>
        <item x="19"/>
        <item x="6"/>
        <item x="11"/>
        <item x="14"/>
        <item x="13"/>
        <item x="18"/>
        <item x="12"/>
        <item x="16"/>
        <item t="default"/>
      </items>
    </pivotField>
    <pivotField showAll="0"/>
    <pivotField showAll="0"/>
    <pivotField showAll="0"/>
    <pivotField dataField="1" showAll="0"/>
    <pivotField showAll="0"/>
    <pivotField showAll="0"/>
    <pivotField showAll="0"/>
    <pivotField axis="axisRow" showAll="0">
      <items count="13">
        <item x="4"/>
        <item x="6"/>
        <item x="5"/>
        <item x="0"/>
        <item x="7"/>
        <item x="1"/>
        <item x="8"/>
        <item x="3"/>
        <item x="10"/>
        <item x="2"/>
        <item x="11"/>
        <item x="9"/>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Patients Admitt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4B8A83-C600-4B03-BE1C-558C605DF46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9" firstHeaderRow="1" firstDataRow="1" firstDataCol="1"/>
  <pivotFields count="11">
    <pivotField showAll="0">
      <items count="13">
        <item x="4"/>
        <item x="6"/>
        <item x="5"/>
        <item x="0"/>
        <item x="7"/>
        <item x="1"/>
        <item x="8"/>
        <item x="3"/>
        <item x="10"/>
        <item x="2"/>
        <item x="11"/>
        <item x="9"/>
        <item t="default"/>
      </items>
    </pivotField>
    <pivotField axis="axisRow" showAll="0" measureFilter="1" sortType="ascending">
      <items count="11">
        <item x="2"/>
        <item x="7"/>
        <item x="0"/>
        <item x="4"/>
        <item x="1"/>
        <item x="5"/>
        <item x="6"/>
        <item x="3"/>
        <item x="9"/>
        <item x="8"/>
        <item t="default"/>
      </items>
    </pivotField>
    <pivotField showAll="0">
      <items count="21">
        <item x="17"/>
        <item x="2"/>
        <item x="8"/>
        <item x="0"/>
        <item x="5"/>
        <item x="10"/>
        <item x="4"/>
        <item x="15"/>
        <item x="3"/>
        <item x="9"/>
        <item x="7"/>
        <item x="1"/>
        <item x="19"/>
        <item x="6"/>
        <item x="11"/>
        <item x="14"/>
        <item x="13"/>
        <item x="18"/>
        <item x="12"/>
        <item x="16"/>
        <item t="default"/>
      </items>
    </pivotField>
    <pivotField showAll="0"/>
    <pivotField showAll="0"/>
    <pivotField showAll="0"/>
    <pivotField dataField="1" showAll="0"/>
    <pivotField showAll="0"/>
    <pivotField showAll="0"/>
    <pivotField showAll="0"/>
    <pivotField showAll="0">
      <items count="13">
        <item x="4"/>
        <item x="6"/>
        <item x="5"/>
        <item x="0"/>
        <item x="7"/>
        <item x="1"/>
        <item x="8"/>
        <item x="3"/>
        <item x="10"/>
        <item x="2"/>
        <item x="11"/>
        <item x="9"/>
        <item t="default"/>
      </items>
    </pivotField>
  </pivotFields>
  <rowFields count="1">
    <field x="1"/>
  </rowFields>
  <rowItems count="7">
    <i>
      <x v="1"/>
    </i>
    <i>
      <x v="3"/>
    </i>
    <i>
      <x v="5"/>
    </i>
    <i>
      <x v="7"/>
    </i>
    <i>
      <x v="8"/>
    </i>
    <i>
      <x v="9"/>
    </i>
    <i t="grand">
      <x/>
    </i>
  </rowItems>
  <colItems count="1">
    <i/>
  </colItems>
  <dataFields count="1">
    <dataField name="Sum of Patients Admitted" fld="6" baseField="0" baseItem="0"/>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5F08A9-EE74-4F4C-9281-1F157AC5DF2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23" firstHeaderRow="1" firstDataRow="1" firstDataCol="1"/>
  <pivotFields count="11">
    <pivotField showAll="0">
      <items count="13">
        <item x="4"/>
        <item x="6"/>
        <item x="5"/>
        <item x="0"/>
        <item x="7"/>
        <item x="1"/>
        <item x="8"/>
        <item x="3"/>
        <item x="10"/>
        <item x="2"/>
        <item x="11"/>
        <item x="9"/>
        <item t="default"/>
      </items>
    </pivotField>
    <pivotField showAll="0"/>
    <pivotField axis="axisRow" showAll="0" sortType="ascending">
      <items count="21">
        <item x="17"/>
        <item x="2"/>
        <item x="8"/>
        <item x="0"/>
        <item x="5"/>
        <item x="10"/>
        <item x="4"/>
        <item x="15"/>
        <item x="3"/>
        <item x="9"/>
        <item x="7"/>
        <item x="1"/>
        <item x="19"/>
        <item x="6"/>
        <item x="11"/>
        <item x="14"/>
        <item x="13"/>
        <item x="18"/>
        <item x="12"/>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items count="13">
        <item x="4"/>
        <item x="6"/>
        <item x="5"/>
        <item x="0"/>
        <item x="7"/>
        <item x="1"/>
        <item x="8"/>
        <item x="3"/>
        <item x="10"/>
        <item x="2"/>
        <item x="11"/>
        <item x="9"/>
        <item t="default"/>
      </items>
    </pivotField>
  </pivotFields>
  <rowFields count="1">
    <field x="2"/>
  </rowFields>
  <rowItems count="21">
    <i>
      <x v="19"/>
    </i>
    <i>
      <x v="12"/>
    </i>
    <i>
      <x v="1"/>
    </i>
    <i>
      <x v="3"/>
    </i>
    <i>
      <x v="2"/>
    </i>
    <i>
      <x v="8"/>
    </i>
    <i>
      <x v="18"/>
    </i>
    <i>
      <x v="16"/>
    </i>
    <i>
      <x v="15"/>
    </i>
    <i>
      <x v="10"/>
    </i>
    <i>
      <x/>
    </i>
    <i>
      <x v="17"/>
    </i>
    <i>
      <x v="14"/>
    </i>
    <i>
      <x v="7"/>
    </i>
    <i>
      <x v="9"/>
    </i>
    <i>
      <x v="11"/>
    </i>
    <i>
      <x v="5"/>
    </i>
    <i>
      <x v="4"/>
    </i>
    <i>
      <x v="13"/>
    </i>
    <i>
      <x v="6"/>
    </i>
    <i t="grand">
      <x/>
    </i>
  </rowItems>
  <colItems count="1">
    <i/>
  </colItems>
  <dataFields count="1">
    <dataField name="Sum of Patients Admitt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969607-6911-4167-B68C-ED63C60E80F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0" firstHeaderRow="1" firstDataRow="1" firstDataCol="1"/>
  <pivotFields count="11">
    <pivotField showAll="0">
      <items count="13">
        <item x="4"/>
        <item x="6"/>
        <item x="5"/>
        <item x="0"/>
        <item x="7"/>
        <item x="1"/>
        <item x="8"/>
        <item x="3"/>
        <item x="10"/>
        <item x="2"/>
        <item x="11"/>
        <item x="9"/>
        <item t="default"/>
      </items>
    </pivotField>
    <pivotField showAll="0"/>
    <pivotField showAll="0">
      <items count="21">
        <item x="17"/>
        <item x="2"/>
        <item x="8"/>
        <item x="0"/>
        <item x="5"/>
        <item x="10"/>
        <item x="4"/>
        <item x="15"/>
        <item x="3"/>
        <item x="9"/>
        <item x="7"/>
        <item x="1"/>
        <item x="19"/>
        <item x="6"/>
        <item x="11"/>
        <item x="14"/>
        <item x="13"/>
        <item x="18"/>
        <item x="12"/>
        <item x="16"/>
        <item t="default"/>
      </items>
    </pivotField>
    <pivotField axis="axisRow" showAll="0">
      <items count="7">
        <item x="4"/>
        <item x="3"/>
        <item x="2"/>
        <item x="1"/>
        <item x="0"/>
        <item x="5"/>
        <item t="default"/>
      </items>
    </pivotField>
    <pivotField showAll="0"/>
    <pivotField showAll="0"/>
    <pivotField dataField="1" showAll="0"/>
    <pivotField showAll="0"/>
    <pivotField showAll="0"/>
    <pivotField showAll="0"/>
    <pivotField showAll="0">
      <items count="13">
        <item x="4"/>
        <item x="6"/>
        <item x="5"/>
        <item x="0"/>
        <item x="7"/>
        <item x="1"/>
        <item x="8"/>
        <item x="3"/>
        <item x="10"/>
        <item x="2"/>
        <item x="11"/>
        <item x="9"/>
        <item t="default"/>
      </items>
    </pivotField>
  </pivotFields>
  <rowFields count="1">
    <field x="3"/>
  </rowFields>
  <rowItems count="7">
    <i>
      <x/>
    </i>
    <i>
      <x v="1"/>
    </i>
    <i>
      <x v="2"/>
    </i>
    <i>
      <x v="3"/>
    </i>
    <i>
      <x v="4"/>
    </i>
    <i>
      <x v="5"/>
    </i>
    <i t="grand">
      <x/>
    </i>
  </rowItems>
  <colItems count="1">
    <i/>
  </colItems>
  <dataFields count="1">
    <dataField name="Sum of Patients Admitt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A80E39-65FD-49DC-983A-014B42D542A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143" firstHeaderRow="1" firstDataRow="1" firstDataCol="1"/>
  <pivotFields count="11">
    <pivotField showAll="0">
      <items count="13">
        <item x="4"/>
        <item x="6"/>
        <item x="5"/>
        <item x="0"/>
        <item x="7"/>
        <item x="1"/>
        <item x="8"/>
        <item x="3"/>
        <item x="10"/>
        <item x="2"/>
        <item x="11"/>
        <item x="9"/>
        <item t="default"/>
      </items>
    </pivotField>
    <pivotField showAll="0"/>
    <pivotField axis="axisRow" showAll="0">
      <items count="21">
        <item x="17"/>
        <item x="2"/>
        <item x="8"/>
        <item x="0"/>
        <item x="5"/>
        <item x="10"/>
        <item x="4"/>
        <item x="15"/>
        <item x="3"/>
        <item x="9"/>
        <item x="7"/>
        <item x="1"/>
        <item x="19"/>
        <item x="6"/>
        <item x="11"/>
        <item x="14"/>
        <item x="13"/>
        <item x="18"/>
        <item x="12"/>
        <item x="16"/>
        <item t="default"/>
      </items>
    </pivotField>
    <pivotField axis="axisRow" showAll="0">
      <items count="7">
        <item x="4"/>
        <item x="3"/>
        <item x="2"/>
        <item x="1"/>
        <item x="0"/>
        <item x="5"/>
        <item t="default"/>
      </items>
    </pivotField>
    <pivotField showAll="0"/>
    <pivotField showAll="0"/>
    <pivotField showAll="0"/>
    <pivotField showAll="0"/>
    <pivotField dataField="1" showAll="0"/>
    <pivotField showAll="0"/>
    <pivotField showAll="0">
      <items count="13">
        <item x="4"/>
        <item x="6"/>
        <item x="5"/>
        <item x="0"/>
        <item x="7"/>
        <item x="1"/>
        <item x="8"/>
        <item x="3"/>
        <item x="10"/>
        <item x="2"/>
        <item x="11"/>
        <item x="9"/>
        <item t="default"/>
      </items>
    </pivotField>
  </pivotFields>
  <rowFields count="2">
    <field x="2"/>
    <field x="3"/>
  </rowFields>
  <rowItems count="141">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x v="6"/>
    </i>
    <i r="1">
      <x/>
    </i>
    <i r="1">
      <x v="1"/>
    </i>
    <i r="1">
      <x v="2"/>
    </i>
    <i r="1">
      <x v="3"/>
    </i>
    <i r="1">
      <x v="4"/>
    </i>
    <i r="1">
      <x v="5"/>
    </i>
    <i>
      <x v="7"/>
    </i>
    <i r="1">
      <x/>
    </i>
    <i r="1">
      <x v="1"/>
    </i>
    <i r="1">
      <x v="2"/>
    </i>
    <i r="1">
      <x v="3"/>
    </i>
    <i r="1">
      <x v="4"/>
    </i>
    <i r="1">
      <x v="5"/>
    </i>
    <i>
      <x v="8"/>
    </i>
    <i r="1">
      <x/>
    </i>
    <i r="1">
      <x v="1"/>
    </i>
    <i r="1">
      <x v="2"/>
    </i>
    <i r="1">
      <x v="3"/>
    </i>
    <i r="1">
      <x v="4"/>
    </i>
    <i r="1">
      <x v="5"/>
    </i>
    <i>
      <x v="9"/>
    </i>
    <i r="1">
      <x/>
    </i>
    <i r="1">
      <x v="1"/>
    </i>
    <i r="1">
      <x v="2"/>
    </i>
    <i r="1">
      <x v="3"/>
    </i>
    <i r="1">
      <x v="4"/>
    </i>
    <i r="1">
      <x v="5"/>
    </i>
    <i>
      <x v="10"/>
    </i>
    <i r="1">
      <x/>
    </i>
    <i r="1">
      <x v="1"/>
    </i>
    <i r="1">
      <x v="2"/>
    </i>
    <i r="1">
      <x v="3"/>
    </i>
    <i r="1">
      <x v="4"/>
    </i>
    <i r="1">
      <x v="5"/>
    </i>
    <i>
      <x v="11"/>
    </i>
    <i r="1">
      <x/>
    </i>
    <i r="1">
      <x v="1"/>
    </i>
    <i r="1">
      <x v="2"/>
    </i>
    <i r="1">
      <x v="3"/>
    </i>
    <i r="1">
      <x v="4"/>
    </i>
    <i r="1">
      <x v="5"/>
    </i>
    <i>
      <x v="12"/>
    </i>
    <i r="1">
      <x/>
    </i>
    <i r="1">
      <x v="1"/>
    </i>
    <i r="1">
      <x v="2"/>
    </i>
    <i r="1">
      <x v="3"/>
    </i>
    <i r="1">
      <x v="4"/>
    </i>
    <i r="1">
      <x v="5"/>
    </i>
    <i>
      <x v="13"/>
    </i>
    <i r="1">
      <x/>
    </i>
    <i r="1">
      <x v="1"/>
    </i>
    <i r="1">
      <x v="2"/>
    </i>
    <i r="1">
      <x v="3"/>
    </i>
    <i r="1">
      <x v="4"/>
    </i>
    <i r="1">
      <x v="5"/>
    </i>
    <i>
      <x v="14"/>
    </i>
    <i r="1">
      <x/>
    </i>
    <i r="1">
      <x v="1"/>
    </i>
    <i r="1">
      <x v="2"/>
    </i>
    <i r="1">
      <x v="3"/>
    </i>
    <i r="1">
      <x v="4"/>
    </i>
    <i r="1">
      <x v="5"/>
    </i>
    <i>
      <x v="15"/>
    </i>
    <i r="1">
      <x/>
    </i>
    <i r="1">
      <x v="1"/>
    </i>
    <i r="1">
      <x v="2"/>
    </i>
    <i r="1">
      <x v="3"/>
    </i>
    <i r="1">
      <x v="4"/>
    </i>
    <i r="1">
      <x v="5"/>
    </i>
    <i>
      <x v="16"/>
    </i>
    <i r="1">
      <x/>
    </i>
    <i r="1">
      <x v="1"/>
    </i>
    <i r="1">
      <x v="2"/>
    </i>
    <i r="1">
      <x v="3"/>
    </i>
    <i r="1">
      <x v="4"/>
    </i>
    <i r="1">
      <x v="5"/>
    </i>
    <i>
      <x v="17"/>
    </i>
    <i r="1">
      <x/>
    </i>
    <i r="1">
      <x v="1"/>
    </i>
    <i r="1">
      <x v="2"/>
    </i>
    <i r="1">
      <x v="3"/>
    </i>
    <i r="1">
      <x v="4"/>
    </i>
    <i r="1">
      <x v="5"/>
    </i>
    <i>
      <x v="18"/>
    </i>
    <i r="1">
      <x/>
    </i>
    <i r="1">
      <x v="1"/>
    </i>
    <i r="1">
      <x v="2"/>
    </i>
    <i r="1">
      <x v="3"/>
    </i>
    <i r="1">
      <x v="4"/>
    </i>
    <i r="1">
      <x v="5"/>
    </i>
    <i>
      <x v="19"/>
    </i>
    <i r="1">
      <x/>
    </i>
    <i r="1">
      <x v="1"/>
    </i>
    <i r="1">
      <x v="2"/>
    </i>
    <i r="1">
      <x v="3"/>
    </i>
    <i r="1">
      <x v="4"/>
    </i>
    <i r="1">
      <x v="5"/>
    </i>
    <i t="grand">
      <x/>
    </i>
  </rowItems>
  <colItems count="1">
    <i/>
  </colItems>
  <dataFields count="1">
    <dataField name="Sum of Mortality 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F79A96-CAEF-4B76-9063-0C28B5A7907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9" firstHeaderRow="1" firstDataRow="1" firstDataCol="1"/>
  <pivotFields count="11">
    <pivotField showAll="0">
      <items count="13">
        <item x="4"/>
        <item x="6"/>
        <item x="5"/>
        <item x="0"/>
        <item x="7"/>
        <item x="1"/>
        <item x="8"/>
        <item x="3"/>
        <item x="10"/>
        <item x="2"/>
        <item x="11"/>
        <item x="9"/>
        <item t="default"/>
      </items>
    </pivotField>
    <pivotField showAll="0"/>
    <pivotField showAll="0">
      <items count="21">
        <item x="17"/>
        <item x="2"/>
        <item x="8"/>
        <item x="0"/>
        <item x="5"/>
        <item x="10"/>
        <item x="4"/>
        <item x="15"/>
        <item x="3"/>
        <item x="9"/>
        <item x="7"/>
        <item x="1"/>
        <item x="19"/>
        <item x="6"/>
        <item x="11"/>
        <item x="14"/>
        <item x="13"/>
        <item x="18"/>
        <item x="12"/>
        <item x="16"/>
        <item t="default"/>
      </items>
    </pivotField>
    <pivotField showAll="0"/>
    <pivotField axis="axisRow" showAll="0">
      <items count="7">
        <item x="0"/>
        <item x="3"/>
        <item x="1"/>
        <item x="4"/>
        <item x="5"/>
        <item x="2"/>
        <item t="default"/>
      </items>
    </pivotField>
    <pivotField showAll="0"/>
    <pivotField dataField="1" showAll="0"/>
    <pivotField showAll="0"/>
    <pivotField showAll="0"/>
    <pivotField showAll="0"/>
    <pivotField showAll="0">
      <items count="13">
        <item x="4"/>
        <item x="6"/>
        <item x="5"/>
        <item x="0"/>
        <item x="7"/>
        <item x="1"/>
        <item x="8"/>
        <item x="3"/>
        <item x="10"/>
        <item x="2"/>
        <item x="11"/>
        <item x="9"/>
        <item t="default"/>
      </items>
    </pivotField>
  </pivotFields>
  <rowFields count="1">
    <field x="4"/>
  </rowFields>
  <rowItems count="7">
    <i>
      <x/>
    </i>
    <i>
      <x v="1"/>
    </i>
    <i>
      <x v="2"/>
    </i>
    <i>
      <x v="3"/>
    </i>
    <i>
      <x v="4"/>
    </i>
    <i>
      <x v="5"/>
    </i>
    <i t="grand">
      <x/>
    </i>
  </rowItems>
  <colItems count="1">
    <i/>
  </colItems>
  <dataFields count="1">
    <dataField name="Sum of Patients Admitt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2FF74-18D7-4154-83C6-24D119F6ABA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23" firstHeaderRow="0" firstDataRow="1" firstDataCol="1"/>
  <pivotFields count="11">
    <pivotField showAll="0">
      <items count="13">
        <item x="4"/>
        <item x="6"/>
        <item x="5"/>
        <item x="0"/>
        <item x="7"/>
        <item x="1"/>
        <item x="8"/>
        <item x="3"/>
        <item x="10"/>
        <item x="2"/>
        <item x="11"/>
        <item x="9"/>
        <item t="default"/>
      </items>
    </pivotField>
    <pivotField showAll="0"/>
    <pivotField axis="axisRow" showAll="0">
      <items count="21">
        <item x="17"/>
        <item x="2"/>
        <item x="8"/>
        <item x="0"/>
        <item x="5"/>
        <item x="10"/>
        <item x="4"/>
        <item x="15"/>
        <item x="3"/>
        <item x="9"/>
        <item x="7"/>
        <item x="1"/>
        <item x="19"/>
        <item x="6"/>
        <item x="11"/>
        <item x="14"/>
        <item x="13"/>
        <item x="18"/>
        <item x="12"/>
        <item x="16"/>
        <item t="default"/>
      </items>
    </pivotField>
    <pivotField showAll="0"/>
    <pivotField showAll="0"/>
    <pivotField showAll="0"/>
    <pivotField dataField="1" showAll="0"/>
    <pivotField dataField="1" showAll="0"/>
    <pivotField showAll="0"/>
    <pivotField showAll="0"/>
    <pivotField showAll="0">
      <items count="13">
        <item x="4"/>
        <item x="6"/>
        <item x="5"/>
        <item x="0"/>
        <item x="7"/>
        <item x="1"/>
        <item x="8"/>
        <item x="3"/>
        <item x="10"/>
        <item x="2"/>
        <item x="11"/>
        <item x="9"/>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Patients Discharged" fld="7" baseField="0" baseItem="0"/>
    <dataField name="Sum of Patients Admitt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59C41A-4F09-44B9-84D5-EAD2092D5F2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23" firstHeaderRow="1" firstDataRow="1" firstDataCol="1"/>
  <pivotFields count="11">
    <pivotField showAll="0">
      <items count="13">
        <item x="4"/>
        <item x="6"/>
        <item x="5"/>
        <item x="0"/>
        <item x="7"/>
        <item x="1"/>
        <item x="8"/>
        <item x="3"/>
        <item x="10"/>
        <item x="2"/>
        <item x="11"/>
        <item x="9"/>
        <item t="default"/>
      </items>
    </pivotField>
    <pivotField showAll="0"/>
    <pivotField axis="axisRow" showAll="0">
      <items count="21">
        <item x="17"/>
        <item x="2"/>
        <item x="8"/>
        <item x="0"/>
        <item x="5"/>
        <item x="10"/>
        <item x="4"/>
        <item x="15"/>
        <item x="3"/>
        <item x="9"/>
        <item x="7"/>
        <item x="1"/>
        <item x="19"/>
        <item x="6"/>
        <item x="11"/>
        <item x="14"/>
        <item x="13"/>
        <item x="18"/>
        <item x="12"/>
        <item x="16"/>
        <item t="default"/>
      </items>
    </pivotField>
    <pivotField showAll="0"/>
    <pivotField showAll="0"/>
    <pivotField showAll="0"/>
    <pivotField showAll="0"/>
    <pivotField showAll="0"/>
    <pivotField showAll="0"/>
    <pivotField dataField="1" showAll="0"/>
    <pivotField showAll="0">
      <items count="13">
        <item x="4"/>
        <item x="6"/>
        <item x="5"/>
        <item x="0"/>
        <item x="7"/>
        <item x="1"/>
        <item x="8"/>
        <item x="3"/>
        <item x="10"/>
        <item x="2"/>
        <item x="11"/>
        <item x="9"/>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vg Stay (Day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A8C255-740B-4CA8-A99E-02A58A0C503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H19" firstHeaderRow="1" firstDataRow="1" firstDataCol="0"/>
  <pivotFields count="11">
    <pivotField showAll="0"/>
    <pivotField showAll="0"/>
    <pivotField showAll="0"/>
    <pivotField showAll="0"/>
    <pivotField showAll="0"/>
    <pivotField showAll="0"/>
    <pivotField showAll="0"/>
    <pivotField showAll="0"/>
    <pivotField showAll="0"/>
    <pivotField showAll="0"/>
    <pivotField showAll="0">
      <items count="13">
        <item x="4"/>
        <item x="6"/>
        <item x="5"/>
        <item x="0"/>
        <item x="7"/>
        <item x="1"/>
        <item x="8"/>
        <item x="3"/>
        <item x="10"/>
        <item x="2"/>
        <item x="11"/>
        <item x="9"/>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2946F0-9830-479F-A5E7-1E35CAAFD08B}"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13" firstHeaderRow="1" firstDataRow="1" firstDataCol="1"/>
  <pivotFields count="11">
    <pivotField showAll="0">
      <items count="13">
        <item x="4"/>
        <item x="6"/>
        <item x="5"/>
        <item x="0"/>
        <item x="7"/>
        <item x="1"/>
        <item x="8"/>
        <item x="3"/>
        <item x="10"/>
        <item x="2"/>
        <item x="11"/>
        <item x="9"/>
        <item t="default"/>
      </items>
    </pivotField>
    <pivotField axis="axisRow" showAll="0">
      <items count="11">
        <item x="2"/>
        <item x="7"/>
        <item x="0"/>
        <item x="4"/>
        <item x="1"/>
        <item x="5"/>
        <item x="6"/>
        <item x="3"/>
        <item x="9"/>
        <item x="8"/>
        <item t="default"/>
      </items>
    </pivotField>
    <pivotField showAll="0">
      <items count="21">
        <item x="17"/>
        <item x="2"/>
        <item x="8"/>
        <item x="0"/>
        <item x="5"/>
        <item x="10"/>
        <item x="4"/>
        <item x="15"/>
        <item x="3"/>
        <item x="9"/>
        <item x="7"/>
        <item x="1"/>
        <item x="19"/>
        <item x="6"/>
        <item x="11"/>
        <item x="14"/>
        <item x="13"/>
        <item x="18"/>
        <item x="12"/>
        <item x="16"/>
        <item t="default"/>
      </items>
    </pivotField>
    <pivotField showAll="0"/>
    <pivotField showAll="0"/>
    <pivotField showAll="0"/>
    <pivotField dataField="1" showAll="0"/>
    <pivotField showAll="0"/>
    <pivotField showAll="0"/>
    <pivotField showAll="0"/>
    <pivotField showAll="0">
      <items count="13">
        <item x="4"/>
        <item x="6"/>
        <item x="5"/>
        <item x="0"/>
        <item x="7"/>
        <item x="1"/>
        <item x="8"/>
        <item x="3"/>
        <item x="10"/>
        <item x="2"/>
        <item x="11"/>
        <item x="9"/>
        <item t="default"/>
      </items>
    </pivotField>
  </pivotFields>
  <rowFields count="1">
    <field x="1"/>
  </rowFields>
  <rowItems count="11">
    <i>
      <x/>
    </i>
    <i>
      <x v="1"/>
    </i>
    <i>
      <x v="2"/>
    </i>
    <i>
      <x v="3"/>
    </i>
    <i>
      <x v="4"/>
    </i>
    <i>
      <x v="5"/>
    </i>
    <i>
      <x v="6"/>
    </i>
    <i>
      <x v="7"/>
    </i>
    <i>
      <x v="8"/>
    </i>
    <i>
      <x v="9"/>
    </i>
    <i t="grand">
      <x/>
    </i>
  </rowItems>
  <colItems count="1">
    <i/>
  </colItems>
  <dataFields count="1">
    <dataField name="Sum of Patients Admitt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3C1E45-F51F-44C5-8029-30D76C70EED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63" firstHeaderRow="1" firstDataRow="1" firstDataCol="1"/>
  <pivotFields count="11">
    <pivotField showAll="0">
      <items count="13">
        <item x="4"/>
        <item x="6"/>
        <item x="5"/>
        <item x="0"/>
        <item x="7"/>
        <item x="1"/>
        <item x="8"/>
        <item x="3"/>
        <item x="10"/>
        <item x="2"/>
        <item x="11"/>
        <item x="9"/>
        <item t="default"/>
      </items>
    </pivotField>
    <pivotField showAll="0"/>
    <pivotField axis="axisRow" showAll="0" sortType="ascending">
      <items count="21">
        <item x="17"/>
        <item x="2"/>
        <item x="8"/>
        <item x="0"/>
        <item x="5"/>
        <item x="10"/>
        <item x="4"/>
        <item x="15"/>
        <item x="3"/>
        <item x="9"/>
        <item x="7"/>
        <item x="1"/>
        <item x="19"/>
        <item x="6"/>
        <item x="11"/>
        <item x="14"/>
        <item x="13"/>
        <item x="18"/>
        <item x="12"/>
        <item x="16"/>
        <item t="default"/>
      </items>
    </pivotField>
    <pivotField showAll="0"/>
    <pivotField showAll="0"/>
    <pivotField axis="axisRow" showAll="0">
      <items count="3">
        <item x="0"/>
        <item x="1"/>
        <item t="default"/>
      </items>
    </pivotField>
    <pivotField dataField="1" showAll="0"/>
    <pivotField showAll="0"/>
    <pivotField showAll="0"/>
    <pivotField showAll="0"/>
    <pivotField showAll="0">
      <items count="13">
        <item x="4"/>
        <item x="6"/>
        <item x="5"/>
        <item x="0"/>
        <item x="7"/>
        <item x="1"/>
        <item x="8"/>
        <item x="3"/>
        <item x="10"/>
        <item x="2"/>
        <item x="11"/>
        <item x="9"/>
        <item t="default"/>
      </items>
    </pivotField>
  </pivotFields>
  <rowFields count="2">
    <field x="2"/>
    <field x="5"/>
  </rowFields>
  <rowItems count="61">
    <i>
      <x/>
    </i>
    <i r="1">
      <x/>
    </i>
    <i r="1">
      <x v="1"/>
    </i>
    <i>
      <x v="1"/>
    </i>
    <i r="1">
      <x/>
    </i>
    <i r="1">
      <x v="1"/>
    </i>
    <i>
      <x v="2"/>
    </i>
    <i r="1">
      <x/>
    </i>
    <i r="1">
      <x v="1"/>
    </i>
    <i>
      <x v="3"/>
    </i>
    <i r="1">
      <x/>
    </i>
    <i r="1">
      <x v="1"/>
    </i>
    <i>
      <x v="4"/>
    </i>
    <i r="1">
      <x/>
    </i>
    <i r="1">
      <x v="1"/>
    </i>
    <i>
      <x v="5"/>
    </i>
    <i r="1">
      <x/>
    </i>
    <i r="1">
      <x v="1"/>
    </i>
    <i>
      <x v="6"/>
    </i>
    <i r="1">
      <x/>
    </i>
    <i r="1">
      <x v="1"/>
    </i>
    <i>
      <x v="7"/>
    </i>
    <i r="1">
      <x/>
    </i>
    <i r="1">
      <x v="1"/>
    </i>
    <i>
      <x v="8"/>
    </i>
    <i r="1">
      <x/>
    </i>
    <i r="1">
      <x v="1"/>
    </i>
    <i>
      <x v="9"/>
    </i>
    <i r="1">
      <x/>
    </i>
    <i r="1">
      <x v="1"/>
    </i>
    <i>
      <x v="10"/>
    </i>
    <i r="1">
      <x/>
    </i>
    <i r="1">
      <x v="1"/>
    </i>
    <i>
      <x v="11"/>
    </i>
    <i r="1">
      <x/>
    </i>
    <i r="1">
      <x v="1"/>
    </i>
    <i>
      <x v="12"/>
    </i>
    <i r="1">
      <x/>
    </i>
    <i r="1">
      <x v="1"/>
    </i>
    <i>
      <x v="13"/>
    </i>
    <i r="1">
      <x/>
    </i>
    <i r="1">
      <x v="1"/>
    </i>
    <i>
      <x v="14"/>
    </i>
    <i r="1">
      <x/>
    </i>
    <i r="1">
      <x v="1"/>
    </i>
    <i>
      <x v="15"/>
    </i>
    <i r="1">
      <x/>
    </i>
    <i r="1">
      <x v="1"/>
    </i>
    <i>
      <x v="16"/>
    </i>
    <i r="1">
      <x/>
    </i>
    <i r="1">
      <x v="1"/>
    </i>
    <i>
      <x v="17"/>
    </i>
    <i r="1">
      <x/>
    </i>
    <i r="1">
      <x v="1"/>
    </i>
    <i>
      <x v="18"/>
    </i>
    <i r="1">
      <x/>
    </i>
    <i r="1">
      <x v="1"/>
    </i>
    <i>
      <x v="19"/>
    </i>
    <i r="1">
      <x/>
    </i>
    <i r="1">
      <x v="1"/>
    </i>
    <i t="grand">
      <x/>
    </i>
  </rowItems>
  <colItems count="1">
    <i/>
  </colItems>
  <dataFields count="1">
    <dataField name="Sum of Patients Admitt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E9A144-BDFE-4BF8-BCD4-94C6A35353B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G23" firstHeaderRow="0" firstDataRow="1" firstDataCol="1"/>
  <pivotFields count="11">
    <pivotField showAll="0">
      <items count="13">
        <item x="4"/>
        <item x="6"/>
        <item x="5"/>
        <item x="0"/>
        <item x="7"/>
        <item x="1"/>
        <item x="8"/>
        <item x="3"/>
        <item x="10"/>
        <item x="2"/>
        <item x="11"/>
        <item x="9"/>
        <item t="default"/>
      </items>
    </pivotField>
    <pivotField showAll="0"/>
    <pivotField axis="axisRow" showAll="0">
      <items count="21">
        <item x="17"/>
        <item x="2"/>
        <item x="8"/>
        <item x="0"/>
        <item x="5"/>
        <item x="10"/>
        <item x="4"/>
        <item x="15"/>
        <item x="3"/>
        <item x="9"/>
        <item x="7"/>
        <item x="1"/>
        <item x="19"/>
        <item x="6"/>
        <item x="11"/>
        <item x="14"/>
        <item x="13"/>
        <item x="18"/>
        <item x="12"/>
        <item x="16"/>
        <item t="default"/>
      </items>
    </pivotField>
    <pivotField showAll="0"/>
    <pivotField showAll="0"/>
    <pivotField showAll="0"/>
    <pivotField dataField="1" showAll="0"/>
    <pivotField dataField="1" showAll="0"/>
    <pivotField dataField="1" showAll="0"/>
    <pivotField dataField="1" showAll="0"/>
    <pivotField showAll="0">
      <items count="13">
        <item x="4"/>
        <item x="6"/>
        <item x="5"/>
        <item x="0"/>
        <item x="7"/>
        <item x="1"/>
        <item x="8"/>
        <item x="3"/>
        <item x="10"/>
        <item x="2"/>
        <item x="11"/>
        <item x="9"/>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4">
    <i>
      <x/>
    </i>
    <i i="1">
      <x v="1"/>
    </i>
    <i i="2">
      <x v="2"/>
    </i>
    <i i="3">
      <x v="3"/>
    </i>
  </colItems>
  <dataFields count="4">
    <dataField name="Sum of Patients Admitted" fld="6" baseField="0" baseItem="0"/>
    <dataField name="Sum of Patients Discharged" fld="7" baseField="0" baseItem="0"/>
    <dataField name="Sum of Avg Stay (Days)" fld="9" baseField="0" baseItem="0"/>
    <dataField name="Sum of Mortality 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41FFCB0C-C0AA-4200-A15A-08A078A860FE}" sourceName="Hospital">
  <pivotTables>
    <pivotTable tabId="2" name="PivotTable1"/>
    <pivotTable tabId="12" name="PivotTable1"/>
    <pivotTable tabId="3" name="PivotTable2"/>
    <pivotTable tabId="4" name="PivotTable3"/>
    <pivotTable tabId="5" name="PivotTable4"/>
    <pivotTable tabId="6" name="PivotTable5"/>
    <pivotTable tabId="7" name="PivotTable6"/>
    <pivotTable tabId="8" name="PivotTable7"/>
    <pivotTable tabId="9" name="PivotTable8"/>
    <pivotTable tabId="10" name="PivotTable9"/>
    <pivotTable tabId="13" name="PivotTable3"/>
  </pivotTables>
  <data>
    <tabular pivotCacheId="1401964669">
      <items count="20">
        <i x="17" s="1"/>
        <i x="2" s="1"/>
        <i x="8" s="1"/>
        <i x="0" s="1"/>
        <i x="5" s="1"/>
        <i x="10" s="1"/>
        <i x="4" s="1"/>
        <i x="15" s="1"/>
        <i x="3" s="1"/>
        <i x="9" s="1"/>
        <i x="7" s="1"/>
        <i x="1" s="1"/>
        <i x="19" s="1"/>
        <i x="6" s="1"/>
        <i x="11" s="1"/>
        <i x="14" s="1"/>
        <i x="13" s="1"/>
        <i x="18" s="1"/>
        <i x="12"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8385A9D3-59C3-4FA5-9FBB-33C2C377770D}" sourceName="Months">
  <pivotTables>
    <pivotTable tabId="2" name="PivotTable1"/>
    <pivotTable tabId="12" name="PivotTable1"/>
    <pivotTable tabId="13" name="PivotTable3"/>
    <pivotTable tabId="3" name="PivotTable2"/>
    <pivotTable tabId="4" name="PivotTable3"/>
    <pivotTable tabId="5" name="PivotTable4"/>
    <pivotTable tabId="6" name="PivotTable5"/>
    <pivotTable tabId="7" name="PivotTable6"/>
    <pivotTable tabId="8" name="PivotTable7"/>
    <pivotTable tabId="9" name="PivotTable4"/>
    <pivotTable tabId="9" name="PivotTable8"/>
    <pivotTable tabId="10" name="PivotTable9"/>
  </pivotTables>
  <data>
    <tabular pivotCacheId="1401964669">
      <items count="12">
        <i x="4" s="1"/>
        <i x="6" s="1"/>
        <i x="5" s="1"/>
        <i x="0" s="1"/>
        <i x="7" s="1"/>
        <i x="1" s="1"/>
        <i x="8" s="1"/>
        <i x="3" s="1"/>
        <i x="10" s="1"/>
        <i x="2" s="1"/>
        <i x="11"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xr10:uid="{417AB837-10D6-48B2-B72E-45032A1AC868}" cache="Slicer_Hospital" caption="Hospital" rowHeight="251883"/>
  <slicer name="Months" xr10:uid="{CEB83834-0A2C-462D-A260-671156949DD3}" cache="Slicer_Months" caption="Months"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1" xr10:uid="{C46498AE-912A-43AB-8E99-75692F779268}" cache="Slicer_Hospital" caption="Hospital" style="SlicerStyleLight5" rowHeight="251883"/>
  <slicer name="Months 1" xr10:uid="{9C5FB19C-61E0-4130-A608-0B6DE14A6D13}" cache="Slicer_Months" caption="Months"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01DC87-BB77-4656-AC1F-43FDED313AE6}" name="Table1" displayName="Table1" ref="A1:K1001" totalsRowShown="0">
  <autoFilter ref="A1:K1001" xr:uid="{0501DC87-BB77-4656-AC1F-43FDED313AE6}"/>
  <tableColumns count="11">
    <tableColumn id="1" xr3:uid="{64F8FCDE-7763-413B-B541-DBBE098A42CF}" name="Month" dataDxfId="0"/>
    <tableColumn id="2" xr3:uid="{B2B9E25F-E970-4CF6-873F-568CEC72DF0D}" name="State"/>
    <tableColumn id="3" xr3:uid="{4CD69AE0-92CB-4CD6-8598-FA60BA8FA342}" name="Hospital"/>
    <tableColumn id="4" xr3:uid="{CA45ACEE-E1A6-4F47-91D5-CC2288D8C7F2}" name="Department"/>
    <tableColumn id="5" xr3:uid="{4F4B76AD-4C85-454B-A277-31B3499DA116}" name="Service"/>
    <tableColumn id="6" xr3:uid="{50CC7E0D-E926-4568-8715-30D3F329905B}" name="Gender"/>
    <tableColumn id="7" xr3:uid="{29524830-0D8C-4D49-AF20-C920B233A188}" name="Patients Admitted"/>
    <tableColumn id="8" xr3:uid="{8815EA46-E4A4-4D5E-9219-ECE7C0D6817C}" name="Patients Discharged"/>
    <tableColumn id="9" xr3:uid="{FAE0DBD3-F11F-47AA-B525-72E242A032A4}" name="Mortality Count"/>
    <tableColumn id="10" xr3:uid="{1AB17EBA-8F4F-480D-9D87-1C71E95A24C3}" name="Avg Stay (Days)"/>
    <tableColumn id="13" xr3:uid="{00B582D4-4EE7-4D5F-A0FF-D6348CB6CF13}" name="Months">
      <calculatedColumnFormula array="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4774-E6D5-411F-9F96-1994D1E26FD0}">
  <dimension ref="A1:K1001"/>
  <sheetViews>
    <sheetView zoomScale="79" zoomScaleNormal="91" workbookViewId="0">
      <selection activeCell="L3" sqref="L3"/>
    </sheetView>
  </sheetViews>
  <sheetFormatPr defaultRowHeight="14.5" x14ac:dyDescent="0.35"/>
  <cols>
    <col min="1" max="1" width="13.26953125" style="16" customWidth="1"/>
    <col min="3" max="3" width="28.54296875" bestFit="1" customWidth="1"/>
    <col min="4" max="4" width="16.453125" bestFit="1" customWidth="1"/>
    <col min="5" max="5" width="12.26953125" bestFit="1" customWidth="1"/>
    <col min="6" max="6" width="9" customWidth="1"/>
    <col min="7" max="7" width="17.54296875" customWidth="1"/>
    <col min="8" max="8" width="19.453125" customWidth="1"/>
    <col min="9" max="9" width="15.54296875" customWidth="1"/>
    <col min="10" max="10" width="15.36328125" customWidth="1"/>
  </cols>
  <sheetData>
    <row r="1" spans="1:11" x14ac:dyDescent="0.35">
      <c r="A1" s="16" t="s">
        <v>0</v>
      </c>
      <c r="B1" t="s">
        <v>1</v>
      </c>
      <c r="C1" t="s">
        <v>2</v>
      </c>
      <c r="D1" t="s">
        <v>3</v>
      </c>
      <c r="E1" t="s">
        <v>4</v>
      </c>
      <c r="F1" t="s">
        <v>5</v>
      </c>
      <c r="G1" t="s">
        <v>6</v>
      </c>
      <c r="H1" t="s">
        <v>7</v>
      </c>
      <c r="I1" t="s">
        <v>8</v>
      </c>
      <c r="J1" t="s">
        <v>9</v>
      </c>
      <c r="K1" s="17" t="s">
        <v>71</v>
      </c>
    </row>
    <row r="2" spans="1:11" x14ac:dyDescent="0.35">
      <c r="A2" s="16" t="s">
        <v>10</v>
      </c>
      <c r="B2" t="s">
        <v>11</v>
      </c>
      <c r="C2" t="s">
        <v>12</v>
      </c>
      <c r="D2" t="s">
        <v>13</v>
      </c>
      <c r="E2" t="s">
        <v>14</v>
      </c>
      <c r="F2" t="s">
        <v>15</v>
      </c>
      <c r="G2">
        <v>5</v>
      </c>
      <c r="H2">
        <v>5</v>
      </c>
      <c r="I2">
        <v>1</v>
      </c>
      <c r="J2">
        <v>4.5999999999999996</v>
      </c>
      <c r="K2" t="str" cm="1">
        <f t="array" ref="K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3" spans="1:11" x14ac:dyDescent="0.35">
      <c r="A3" s="16" t="s">
        <v>10</v>
      </c>
      <c r="B3" t="s">
        <v>16</v>
      </c>
      <c r="C3" t="s">
        <v>17</v>
      </c>
      <c r="D3" t="s">
        <v>13</v>
      </c>
      <c r="E3" t="s">
        <v>18</v>
      </c>
      <c r="F3" t="s">
        <v>19</v>
      </c>
      <c r="G3">
        <v>3</v>
      </c>
      <c r="H3">
        <v>3</v>
      </c>
      <c r="I3">
        <v>0</v>
      </c>
      <c r="J3">
        <v>3.8</v>
      </c>
      <c r="K3" t="str" cm="1">
        <f t="array" ref="K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4" spans="1:11" x14ac:dyDescent="0.35">
      <c r="A4" s="16" t="s">
        <v>20</v>
      </c>
      <c r="B4" t="s">
        <v>16</v>
      </c>
      <c r="C4" t="s">
        <v>17</v>
      </c>
      <c r="D4" t="s">
        <v>21</v>
      </c>
      <c r="E4" t="s">
        <v>22</v>
      </c>
      <c r="F4" t="s">
        <v>19</v>
      </c>
      <c r="G4">
        <v>5</v>
      </c>
      <c r="H4">
        <v>5</v>
      </c>
      <c r="I4">
        <v>0</v>
      </c>
      <c r="J4">
        <v>4.5</v>
      </c>
      <c r="K4" t="str" cm="1">
        <f t="array" ref="K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5" spans="1:11" x14ac:dyDescent="0.35">
      <c r="A5" s="16" t="s">
        <v>23</v>
      </c>
      <c r="B5" t="s">
        <v>24</v>
      </c>
      <c r="C5" t="s">
        <v>25</v>
      </c>
      <c r="D5" t="s">
        <v>26</v>
      </c>
      <c r="E5" t="s">
        <v>27</v>
      </c>
      <c r="F5" t="s">
        <v>15</v>
      </c>
      <c r="G5">
        <v>3</v>
      </c>
      <c r="H5">
        <v>3</v>
      </c>
      <c r="I5">
        <v>0</v>
      </c>
      <c r="J5">
        <v>2.8</v>
      </c>
      <c r="K5" t="str" cm="1">
        <f t="array" ref="K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6" spans="1:11" x14ac:dyDescent="0.35">
      <c r="A6" s="16" t="s">
        <v>23</v>
      </c>
      <c r="B6" t="s">
        <v>28</v>
      </c>
      <c r="C6" t="s">
        <v>29</v>
      </c>
      <c r="D6" t="s">
        <v>21</v>
      </c>
      <c r="E6" t="s">
        <v>30</v>
      </c>
      <c r="F6" t="s">
        <v>15</v>
      </c>
      <c r="G6">
        <v>5</v>
      </c>
      <c r="H6">
        <v>4</v>
      </c>
      <c r="I6">
        <v>0</v>
      </c>
      <c r="J6">
        <v>3</v>
      </c>
      <c r="K6" t="str" cm="1">
        <f t="array" ref="K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 spans="1:11" x14ac:dyDescent="0.35">
      <c r="A7" s="16" t="s">
        <v>31</v>
      </c>
      <c r="B7" t="s">
        <v>28</v>
      </c>
      <c r="C7" t="s">
        <v>29</v>
      </c>
      <c r="D7" t="s">
        <v>32</v>
      </c>
      <c r="E7" t="s">
        <v>14</v>
      </c>
      <c r="F7" t="s">
        <v>19</v>
      </c>
      <c r="G7">
        <v>3</v>
      </c>
      <c r="H7">
        <v>3</v>
      </c>
      <c r="I7">
        <v>0</v>
      </c>
      <c r="J7">
        <v>1.9</v>
      </c>
      <c r="K7" t="str" cm="1">
        <f t="array" ref="K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 spans="1:11" x14ac:dyDescent="0.35">
      <c r="A8" s="16" t="s">
        <v>33</v>
      </c>
      <c r="B8" t="s">
        <v>34</v>
      </c>
      <c r="C8" t="s">
        <v>35</v>
      </c>
      <c r="D8" t="s">
        <v>21</v>
      </c>
      <c r="E8" t="s">
        <v>27</v>
      </c>
      <c r="F8" t="s">
        <v>19</v>
      </c>
      <c r="G8">
        <v>8</v>
      </c>
      <c r="H8">
        <v>8</v>
      </c>
      <c r="I8">
        <v>0</v>
      </c>
      <c r="J8">
        <v>2</v>
      </c>
      <c r="K8" t="str" cm="1">
        <f t="array" ref="K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9" spans="1:11" x14ac:dyDescent="0.35">
      <c r="A9" s="16" t="s">
        <v>36</v>
      </c>
      <c r="B9" t="s">
        <v>37</v>
      </c>
      <c r="C9" t="s">
        <v>38</v>
      </c>
      <c r="D9" t="s">
        <v>32</v>
      </c>
      <c r="E9" t="s">
        <v>27</v>
      </c>
      <c r="F9" t="s">
        <v>19</v>
      </c>
      <c r="G9">
        <v>5</v>
      </c>
      <c r="H9">
        <v>4</v>
      </c>
      <c r="I9">
        <v>0</v>
      </c>
      <c r="J9">
        <v>1.4</v>
      </c>
      <c r="K9" t="str" cm="1">
        <f t="array" ref="K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10" spans="1:11" x14ac:dyDescent="0.35">
      <c r="A10" s="16" t="s">
        <v>33</v>
      </c>
      <c r="B10" t="s">
        <v>37</v>
      </c>
      <c r="C10" t="s">
        <v>39</v>
      </c>
      <c r="D10" t="s">
        <v>40</v>
      </c>
      <c r="E10" t="s">
        <v>14</v>
      </c>
      <c r="F10" t="s">
        <v>15</v>
      </c>
      <c r="G10">
        <v>3</v>
      </c>
      <c r="H10">
        <v>2</v>
      </c>
      <c r="I10">
        <v>0</v>
      </c>
      <c r="J10">
        <v>3.9</v>
      </c>
      <c r="K10" t="str" cm="1">
        <f t="array" ref="K1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1" spans="1:11" x14ac:dyDescent="0.35">
      <c r="A11" s="16" t="s">
        <v>23</v>
      </c>
      <c r="B11" t="s">
        <v>41</v>
      </c>
      <c r="C11" t="s">
        <v>42</v>
      </c>
      <c r="D11" t="s">
        <v>22</v>
      </c>
      <c r="E11" t="s">
        <v>27</v>
      </c>
      <c r="F11" t="s">
        <v>15</v>
      </c>
      <c r="G11">
        <v>2</v>
      </c>
      <c r="H11">
        <v>1</v>
      </c>
      <c r="I11">
        <v>0</v>
      </c>
      <c r="J11">
        <v>3.8</v>
      </c>
      <c r="K11" t="str" cm="1">
        <f t="array" ref="K1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2" spans="1:11" x14ac:dyDescent="0.35">
      <c r="A12" s="16" t="s">
        <v>43</v>
      </c>
      <c r="B12" t="s">
        <v>37</v>
      </c>
      <c r="C12" t="s">
        <v>39</v>
      </c>
      <c r="D12" t="s">
        <v>13</v>
      </c>
      <c r="E12" t="s">
        <v>22</v>
      </c>
      <c r="F12" t="s">
        <v>19</v>
      </c>
      <c r="G12">
        <v>2</v>
      </c>
      <c r="H12">
        <v>2</v>
      </c>
      <c r="I12">
        <v>0</v>
      </c>
      <c r="J12">
        <v>3.8</v>
      </c>
      <c r="K12" t="str" cm="1">
        <f t="array" ref="K1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13" spans="1:11" x14ac:dyDescent="0.35">
      <c r="A13" s="16" t="s">
        <v>31</v>
      </c>
      <c r="B13" t="s">
        <v>41</v>
      </c>
      <c r="C13" t="s">
        <v>44</v>
      </c>
      <c r="D13" t="s">
        <v>22</v>
      </c>
      <c r="E13" t="s">
        <v>18</v>
      </c>
      <c r="F13" t="s">
        <v>15</v>
      </c>
      <c r="G13">
        <v>6</v>
      </c>
      <c r="H13">
        <v>6</v>
      </c>
      <c r="I13">
        <v>0</v>
      </c>
      <c r="J13">
        <v>3.3</v>
      </c>
      <c r="K13" t="str" cm="1">
        <f t="array" ref="K1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14" spans="1:11" x14ac:dyDescent="0.35">
      <c r="A14" s="16" t="s">
        <v>10</v>
      </c>
      <c r="B14" t="s">
        <v>11</v>
      </c>
      <c r="C14" t="s">
        <v>12</v>
      </c>
      <c r="D14" t="s">
        <v>21</v>
      </c>
      <c r="E14" t="s">
        <v>14</v>
      </c>
      <c r="F14" t="s">
        <v>19</v>
      </c>
      <c r="G14">
        <v>1</v>
      </c>
      <c r="H14">
        <v>1</v>
      </c>
      <c r="I14">
        <v>0</v>
      </c>
      <c r="J14">
        <v>3.1</v>
      </c>
      <c r="K14" t="str" cm="1">
        <f t="array" ref="K1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5" spans="1:11" x14ac:dyDescent="0.35">
      <c r="A15" s="16" t="s">
        <v>45</v>
      </c>
      <c r="B15" t="s">
        <v>46</v>
      </c>
      <c r="C15" t="s">
        <v>47</v>
      </c>
      <c r="D15" t="s">
        <v>13</v>
      </c>
      <c r="E15" t="s">
        <v>30</v>
      </c>
      <c r="F15" t="s">
        <v>19</v>
      </c>
      <c r="G15">
        <v>5</v>
      </c>
      <c r="H15">
        <v>5</v>
      </c>
      <c r="I15">
        <v>0</v>
      </c>
      <c r="J15">
        <v>1</v>
      </c>
      <c r="K15" t="str" cm="1">
        <f t="array" ref="K1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16" spans="1:11" x14ac:dyDescent="0.35">
      <c r="A16" s="16" t="s">
        <v>36</v>
      </c>
      <c r="B16" t="s">
        <v>48</v>
      </c>
      <c r="C16" t="s">
        <v>49</v>
      </c>
      <c r="D16" t="s">
        <v>32</v>
      </c>
      <c r="E16" t="s">
        <v>14</v>
      </c>
      <c r="F16" t="s">
        <v>15</v>
      </c>
      <c r="G16">
        <v>11</v>
      </c>
      <c r="H16">
        <v>11</v>
      </c>
      <c r="I16">
        <v>0</v>
      </c>
      <c r="J16">
        <v>3.3</v>
      </c>
      <c r="K16" t="str" cm="1">
        <f t="array" ref="K1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17" spans="1:11" x14ac:dyDescent="0.35">
      <c r="A17" s="16" t="s">
        <v>50</v>
      </c>
      <c r="B17" t="s">
        <v>34</v>
      </c>
      <c r="C17" t="s">
        <v>51</v>
      </c>
      <c r="D17" t="s">
        <v>26</v>
      </c>
      <c r="E17" t="s">
        <v>18</v>
      </c>
      <c r="F17" t="s">
        <v>19</v>
      </c>
      <c r="G17">
        <v>1</v>
      </c>
      <c r="H17">
        <v>1</v>
      </c>
      <c r="I17">
        <v>0</v>
      </c>
      <c r="J17">
        <v>3.3</v>
      </c>
      <c r="K17" t="str" cm="1">
        <f t="array" ref="K1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18" spans="1:11" x14ac:dyDescent="0.35">
      <c r="A18" s="16" t="s">
        <v>23</v>
      </c>
      <c r="B18" t="s">
        <v>11</v>
      </c>
      <c r="C18" t="s">
        <v>52</v>
      </c>
      <c r="D18" t="s">
        <v>13</v>
      </c>
      <c r="E18" t="s">
        <v>53</v>
      </c>
      <c r="F18" t="s">
        <v>19</v>
      </c>
      <c r="G18">
        <v>4</v>
      </c>
      <c r="H18">
        <v>3</v>
      </c>
      <c r="I18">
        <v>0</v>
      </c>
      <c r="J18">
        <v>3</v>
      </c>
      <c r="K18" t="str" cm="1">
        <f t="array" ref="K1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9" spans="1:11" x14ac:dyDescent="0.35">
      <c r="A19" s="16" t="s">
        <v>45</v>
      </c>
      <c r="B19" t="s">
        <v>37</v>
      </c>
      <c r="C19" t="s">
        <v>39</v>
      </c>
      <c r="D19" t="s">
        <v>21</v>
      </c>
      <c r="E19" t="s">
        <v>30</v>
      </c>
      <c r="F19" t="s">
        <v>15</v>
      </c>
      <c r="G19">
        <v>2</v>
      </c>
      <c r="H19">
        <v>2</v>
      </c>
      <c r="I19">
        <v>0</v>
      </c>
      <c r="J19">
        <v>1.3</v>
      </c>
      <c r="K19" t="str" cm="1">
        <f t="array" ref="K1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20" spans="1:11" x14ac:dyDescent="0.35">
      <c r="A20" s="16" t="s">
        <v>20</v>
      </c>
      <c r="B20" t="s">
        <v>34</v>
      </c>
      <c r="C20" t="s">
        <v>51</v>
      </c>
      <c r="D20" t="s">
        <v>32</v>
      </c>
      <c r="E20" t="s">
        <v>27</v>
      </c>
      <c r="F20" t="s">
        <v>15</v>
      </c>
      <c r="G20">
        <v>3</v>
      </c>
      <c r="H20">
        <v>3</v>
      </c>
      <c r="I20">
        <v>0</v>
      </c>
      <c r="J20">
        <v>4.0999999999999996</v>
      </c>
      <c r="K20" t="str" cm="1">
        <f t="array" ref="K2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1" spans="1:11" x14ac:dyDescent="0.35">
      <c r="A21" s="16" t="s">
        <v>33</v>
      </c>
      <c r="B21" t="s">
        <v>11</v>
      </c>
      <c r="C21" t="s">
        <v>12</v>
      </c>
      <c r="D21" t="s">
        <v>40</v>
      </c>
      <c r="E21" t="s">
        <v>22</v>
      </c>
      <c r="F21" t="s">
        <v>19</v>
      </c>
      <c r="G21">
        <v>6</v>
      </c>
      <c r="H21">
        <v>5</v>
      </c>
      <c r="I21">
        <v>0</v>
      </c>
      <c r="J21">
        <v>3.8</v>
      </c>
      <c r="K21" t="str" cm="1">
        <f t="array" ref="K2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22" spans="1:11" x14ac:dyDescent="0.35">
      <c r="A22" s="16" t="s">
        <v>50</v>
      </c>
      <c r="B22" t="s">
        <v>48</v>
      </c>
      <c r="C22" t="s">
        <v>49</v>
      </c>
      <c r="D22" t="s">
        <v>26</v>
      </c>
      <c r="E22" t="s">
        <v>30</v>
      </c>
      <c r="F22" t="s">
        <v>19</v>
      </c>
      <c r="G22">
        <v>2</v>
      </c>
      <c r="H22">
        <v>2</v>
      </c>
      <c r="I22">
        <v>0</v>
      </c>
      <c r="J22">
        <v>1.4</v>
      </c>
      <c r="K22" t="str" cm="1">
        <f t="array" ref="K2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23" spans="1:11" x14ac:dyDescent="0.35">
      <c r="A23" s="16" t="s">
        <v>45</v>
      </c>
      <c r="B23" t="s">
        <v>48</v>
      </c>
      <c r="C23" t="s">
        <v>49</v>
      </c>
      <c r="D23" t="s">
        <v>13</v>
      </c>
      <c r="E23" t="s">
        <v>22</v>
      </c>
      <c r="F23" t="s">
        <v>19</v>
      </c>
      <c r="G23">
        <v>5</v>
      </c>
      <c r="H23">
        <v>5</v>
      </c>
      <c r="I23">
        <v>0</v>
      </c>
      <c r="J23">
        <v>3.1</v>
      </c>
      <c r="K23" t="str" cm="1">
        <f t="array" ref="K2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24" spans="1:11" x14ac:dyDescent="0.35">
      <c r="A24" s="16" t="s">
        <v>20</v>
      </c>
      <c r="B24" t="s">
        <v>11</v>
      </c>
      <c r="C24" t="s">
        <v>12</v>
      </c>
      <c r="D24" t="s">
        <v>32</v>
      </c>
      <c r="E24" t="s">
        <v>30</v>
      </c>
      <c r="F24" t="s">
        <v>15</v>
      </c>
      <c r="G24">
        <v>8</v>
      </c>
      <c r="H24">
        <v>6</v>
      </c>
      <c r="I24">
        <v>1</v>
      </c>
      <c r="J24">
        <v>1.6</v>
      </c>
      <c r="K24" t="str" cm="1">
        <f t="array" ref="K2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5" spans="1:11" x14ac:dyDescent="0.35">
      <c r="A25" s="16" t="s">
        <v>50</v>
      </c>
      <c r="B25" t="s">
        <v>37</v>
      </c>
      <c r="C25" t="s">
        <v>39</v>
      </c>
      <c r="D25" t="s">
        <v>40</v>
      </c>
      <c r="E25" t="s">
        <v>14</v>
      </c>
      <c r="F25" t="s">
        <v>19</v>
      </c>
      <c r="G25">
        <v>7</v>
      </c>
      <c r="H25">
        <v>5</v>
      </c>
      <c r="I25">
        <v>0</v>
      </c>
      <c r="J25">
        <v>4.2</v>
      </c>
      <c r="K25" t="str" cm="1">
        <f t="array" ref="K2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26" spans="1:11" x14ac:dyDescent="0.35">
      <c r="A26" s="16" t="s">
        <v>45</v>
      </c>
      <c r="B26" t="s">
        <v>41</v>
      </c>
      <c r="C26" t="s">
        <v>44</v>
      </c>
      <c r="D26" t="s">
        <v>22</v>
      </c>
      <c r="E26" t="s">
        <v>27</v>
      </c>
      <c r="F26" t="s">
        <v>19</v>
      </c>
      <c r="G26">
        <v>1</v>
      </c>
      <c r="H26">
        <v>1</v>
      </c>
      <c r="I26">
        <v>0</v>
      </c>
      <c r="J26">
        <v>3.2</v>
      </c>
      <c r="K26" t="str" cm="1">
        <f t="array" ref="K2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27" spans="1:11" x14ac:dyDescent="0.35">
      <c r="A27" s="16" t="s">
        <v>50</v>
      </c>
      <c r="B27" t="s">
        <v>46</v>
      </c>
      <c r="C27" t="s">
        <v>54</v>
      </c>
      <c r="D27" t="s">
        <v>40</v>
      </c>
      <c r="E27" t="s">
        <v>30</v>
      </c>
      <c r="F27" t="s">
        <v>19</v>
      </c>
      <c r="G27">
        <v>5</v>
      </c>
      <c r="H27">
        <v>4</v>
      </c>
      <c r="I27">
        <v>0</v>
      </c>
      <c r="J27">
        <v>1.8</v>
      </c>
      <c r="K27" t="str" cm="1">
        <f t="array" ref="K2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28" spans="1:11" x14ac:dyDescent="0.35">
      <c r="A28" s="16" t="s">
        <v>43</v>
      </c>
      <c r="B28" t="s">
        <v>34</v>
      </c>
      <c r="C28" t="s">
        <v>51</v>
      </c>
      <c r="D28" t="s">
        <v>13</v>
      </c>
      <c r="E28" t="s">
        <v>30</v>
      </c>
      <c r="F28" t="s">
        <v>15</v>
      </c>
      <c r="G28">
        <v>5</v>
      </c>
      <c r="H28">
        <v>5</v>
      </c>
      <c r="I28">
        <v>1</v>
      </c>
      <c r="J28">
        <v>3.9</v>
      </c>
      <c r="K28" t="str" cm="1">
        <f t="array" ref="K2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29" spans="1:11" x14ac:dyDescent="0.35">
      <c r="A29" s="16" t="s">
        <v>23</v>
      </c>
      <c r="B29" t="s">
        <v>37</v>
      </c>
      <c r="C29" t="s">
        <v>38</v>
      </c>
      <c r="D29" t="s">
        <v>40</v>
      </c>
      <c r="E29" t="s">
        <v>27</v>
      </c>
      <c r="F29" t="s">
        <v>19</v>
      </c>
      <c r="G29">
        <v>7</v>
      </c>
      <c r="H29">
        <v>7</v>
      </c>
      <c r="I29">
        <v>0</v>
      </c>
      <c r="J29">
        <v>2.8</v>
      </c>
      <c r="K29" t="str" cm="1">
        <f t="array" ref="K2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30" spans="1:11" x14ac:dyDescent="0.35">
      <c r="A30" s="16" t="s">
        <v>20</v>
      </c>
      <c r="B30" t="s">
        <v>34</v>
      </c>
      <c r="C30" t="s">
        <v>51</v>
      </c>
      <c r="D30" t="s">
        <v>26</v>
      </c>
      <c r="E30" t="s">
        <v>18</v>
      </c>
      <c r="F30" t="s">
        <v>15</v>
      </c>
      <c r="G30">
        <v>5</v>
      </c>
      <c r="H30">
        <v>3</v>
      </c>
      <c r="I30">
        <v>0</v>
      </c>
      <c r="J30">
        <v>2.5</v>
      </c>
      <c r="K30" t="str" cm="1">
        <f t="array" ref="K3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31" spans="1:11" x14ac:dyDescent="0.35">
      <c r="A31" s="16" t="s">
        <v>55</v>
      </c>
      <c r="B31" t="s">
        <v>46</v>
      </c>
      <c r="C31" t="s">
        <v>54</v>
      </c>
      <c r="D31" t="s">
        <v>26</v>
      </c>
      <c r="E31" t="s">
        <v>53</v>
      </c>
      <c r="F31" t="s">
        <v>15</v>
      </c>
      <c r="G31">
        <v>6</v>
      </c>
      <c r="H31">
        <v>5</v>
      </c>
      <c r="I31">
        <v>0</v>
      </c>
      <c r="J31">
        <v>3.8</v>
      </c>
      <c r="K31" t="str" cm="1">
        <f t="array" ref="K3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32" spans="1:11" x14ac:dyDescent="0.35">
      <c r="A32" s="16" t="s">
        <v>31</v>
      </c>
      <c r="B32" t="s">
        <v>16</v>
      </c>
      <c r="C32" t="s">
        <v>17</v>
      </c>
      <c r="D32" t="s">
        <v>22</v>
      </c>
      <c r="E32" t="s">
        <v>22</v>
      </c>
      <c r="F32" t="s">
        <v>19</v>
      </c>
      <c r="G32">
        <v>8</v>
      </c>
      <c r="H32">
        <v>8</v>
      </c>
      <c r="I32">
        <v>1</v>
      </c>
      <c r="J32">
        <v>3.3</v>
      </c>
      <c r="K32" t="str" cm="1">
        <f t="array" ref="K3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33" spans="1:11" x14ac:dyDescent="0.35">
      <c r="A33" s="16" t="s">
        <v>43</v>
      </c>
      <c r="B33" t="s">
        <v>37</v>
      </c>
      <c r="C33" t="s">
        <v>39</v>
      </c>
      <c r="D33" t="s">
        <v>32</v>
      </c>
      <c r="E33" t="s">
        <v>53</v>
      </c>
      <c r="F33" t="s">
        <v>15</v>
      </c>
      <c r="G33">
        <v>10</v>
      </c>
      <c r="H33">
        <v>9</v>
      </c>
      <c r="I33">
        <v>0</v>
      </c>
      <c r="J33">
        <v>3.3</v>
      </c>
      <c r="K33" t="str" cm="1">
        <f t="array" ref="K3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34" spans="1:11" x14ac:dyDescent="0.35">
      <c r="A34" s="16" t="s">
        <v>45</v>
      </c>
      <c r="B34" t="s">
        <v>56</v>
      </c>
      <c r="C34" t="s">
        <v>57</v>
      </c>
      <c r="D34" t="s">
        <v>40</v>
      </c>
      <c r="E34" t="s">
        <v>27</v>
      </c>
      <c r="F34" t="s">
        <v>15</v>
      </c>
      <c r="G34">
        <v>4</v>
      </c>
      <c r="H34">
        <v>4</v>
      </c>
      <c r="I34">
        <v>1</v>
      </c>
      <c r="J34">
        <v>2.1</v>
      </c>
      <c r="K34" t="str" cm="1">
        <f t="array" ref="K3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35" spans="1:11" x14ac:dyDescent="0.35">
      <c r="A35" s="16" t="s">
        <v>43</v>
      </c>
      <c r="B35" t="s">
        <v>16</v>
      </c>
      <c r="C35" t="s">
        <v>17</v>
      </c>
      <c r="D35" t="s">
        <v>26</v>
      </c>
      <c r="E35" t="s">
        <v>53</v>
      </c>
      <c r="F35" t="s">
        <v>15</v>
      </c>
      <c r="G35">
        <v>4</v>
      </c>
      <c r="H35">
        <v>4</v>
      </c>
      <c r="I35">
        <v>0</v>
      </c>
      <c r="J35">
        <v>2.7</v>
      </c>
      <c r="K35" t="str" cm="1">
        <f t="array" ref="K3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36" spans="1:11" x14ac:dyDescent="0.35">
      <c r="A36" s="16" t="s">
        <v>23</v>
      </c>
      <c r="B36" t="s">
        <v>34</v>
      </c>
      <c r="C36" t="s">
        <v>35</v>
      </c>
      <c r="D36" t="s">
        <v>22</v>
      </c>
      <c r="E36" t="s">
        <v>18</v>
      </c>
      <c r="F36" t="s">
        <v>15</v>
      </c>
      <c r="G36">
        <v>8</v>
      </c>
      <c r="H36">
        <v>8</v>
      </c>
      <c r="I36">
        <v>0</v>
      </c>
      <c r="J36">
        <v>2.2000000000000002</v>
      </c>
      <c r="K36" t="str" cm="1">
        <f t="array" ref="K3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37" spans="1:11" x14ac:dyDescent="0.35">
      <c r="A37" s="16" t="s">
        <v>33</v>
      </c>
      <c r="B37" t="s">
        <v>37</v>
      </c>
      <c r="C37" t="s">
        <v>39</v>
      </c>
      <c r="D37" t="s">
        <v>13</v>
      </c>
      <c r="E37" t="s">
        <v>22</v>
      </c>
      <c r="F37" t="s">
        <v>19</v>
      </c>
      <c r="G37">
        <v>3</v>
      </c>
      <c r="H37">
        <v>3</v>
      </c>
      <c r="I37">
        <v>0</v>
      </c>
      <c r="J37">
        <v>4.7</v>
      </c>
      <c r="K37" t="str" cm="1">
        <f t="array" ref="K3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38" spans="1:11" x14ac:dyDescent="0.35">
      <c r="A38" s="16" t="s">
        <v>50</v>
      </c>
      <c r="B38" t="s">
        <v>28</v>
      </c>
      <c r="C38" t="s">
        <v>58</v>
      </c>
      <c r="D38" t="s">
        <v>26</v>
      </c>
      <c r="E38" t="s">
        <v>22</v>
      </c>
      <c r="F38" t="s">
        <v>15</v>
      </c>
      <c r="G38">
        <v>7</v>
      </c>
      <c r="H38">
        <v>6</v>
      </c>
      <c r="I38">
        <v>0</v>
      </c>
      <c r="J38">
        <v>2.8</v>
      </c>
      <c r="K38" t="str" cm="1">
        <f t="array" ref="K3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39" spans="1:11" x14ac:dyDescent="0.35">
      <c r="A39" s="16" t="s">
        <v>59</v>
      </c>
      <c r="B39" t="s">
        <v>34</v>
      </c>
      <c r="C39" t="s">
        <v>51</v>
      </c>
      <c r="D39" t="s">
        <v>21</v>
      </c>
      <c r="E39" t="s">
        <v>30</v>
      </c>
      <c r="F39" t="s">
        <v>15</v>
      </c>
      <c r="G39">
        <v>3</v>
      </c>
      <c r="H39">
        <v>3</v>
      </c>
      <c r="I39">
        <v>0</v>
      </c>
      <c r="J39">
        <v>4.9000000000000004</v>
      </c>
      <c r="K39" t="str" cm="1">
        <f t="array" ref="K3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40" spans="1:11" x14ac:dyDescent="0.35">
      <c r="A40" s="16" t="s">
        <v>50</v>
      </c>
      <c r="B40" t="s">
        <v>46</v>
      </c>
      <c r="C40" t="s">
        <v>54</v>
      </c>
      <c r="D40" t="s">
        <v>13</v>
      </c>
      <c r="E40" t="s">
        <v>14</v>
      </c>
      <c r="F40" t="s">
        <v>15</v>
      </c>
      <c r="G40">
        <v>3</v>
      </c>
      <c r="H40">
        <v>3</v>
      </c>
      <c r="I40">
        <v>0</v>
      </c>
      <c r="J40">
        <v>3.4</v>
      </c>
      <c r="K40" t="str" cm="1">
        <f t="array" ref="K4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41" spans="1:11" x14ac:dyDescent="0.35">
      <c r="A41" s="16" t="s">
        <v>31</v>
      </c>
      <c r="B41" t="s">
        <v>37</v>
      </c>
      <c r="C41" t="s">
        <v>39</v>
      </c>
      <c r="D41" t="s">
        <v>26</v>
      </c>
      <c r="E41" t="s">
        <v>22</v>
      </c>
      <c r="F41" t="s">
        <v>19</v>
      </c>
      <c r="G41">
        <v>3</v>
      </c>
      <c r="H41">
        <v>3</v>
      </c>
      <c r="I41">
        <v>1</v>
      </c>
      <c r="J41">
        <v>3.9</v>
      </c>
      <c r="K41" t="str" cm="1">
        <f t="array" ref="K4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42" spans="1:11" x14ac:dyDescent="0.35">
      <c r="A42" s="16" t="s">
        <v>23</v>
      </c>
      <c r="B42" t="s">
        <v>16</v>
      </c>
      <c r="C42" t="s">
        <v>60</v>
      </c>
      <c r="D42" t="s">
        <v>26</v>
      </c>
      <c r="E42" t="s">
        <v>22</v>
      </c>
      <c r="F42" t="s">
        <v>15</v>
      </c>
      <c r="G42">
        <v>9</v>
      </c>
      <c r="H42">
        <v>9</v>
      </c>
      <c r="I42">
        <v>0</v>
      </c>
      <c r="J42">
        <v>2.5</v>
      </c>
      <c r="K42" t="str" cm="1">
        <f t="array" ref="K4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43" spans="1:11" x14ac:dyDescent="0.35">
      <c r="A43" s="16" t="s">
        <v>36</v>
      </c>
      <c r="B43" t="s">
        <v>34</v>
      </c>
      <c r="C43" t="s">
        <v>35</v>
      </c>
      <c r="D43" t="s">
        <v>26</v>
      </c>
      <c r="E43" t="s">
        <v>53</v>
      </c>
      <c r="F43" t="s">
        <v>19</v>
      </c>
      <c r="G43">
        <v>2</v>
      </c>
      <c r="H43">
        <v>1</v>
      </c>
      <c r="I43">
        <v>0</v>
      </c>
      <c r="J43">
        <v>3.2</v>
      </c>
      <c r="K43" t="str" cm="1">
        <f t="array" ref="K4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44" spans="1:11" x14ac:dyDescent="0.35">
      <c r="A44" s="16" t="s">
        <v>10</v>
      </c>
      <c r="B44" t="s">
        <v>37</v>
      </c>
      <c r="C44" t="s">
        <v>38</v>
      </c>
      <c r="D44" t="s">
        <v>22</v>
      </c>
      <c r="E44" t="s">
        <v>27</v>
      </c>
      <c r="F44" t="s">
        <v>19</v>
      </c>
      <c r="G44">
        <v>7</v>
      </c>
      <c r="H44">
        <v>6</v>
      </c>
      <c r="I44">
        <v>1</v>
      </c>
      <c r="J44">
        <v>3</v>
      </c>
      <c r="K44" t="str" cm="1">
        <f t="array" ref="K4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45" spans="1:11" x14ac:dyDescent="0.35">
      <c r="A45" s="16" t="s">
        <v>59</v>
      </c>
      <c r="B45" t="s">
        <v>41</v>
      </c>
      <c r="C45" t="s">
        <v>44</v>
      </c>
      <c r="D45" t="s">
        <v>40</v>
      </c>
      <c r="E45" t="s">
        <v>18</v>
      </c>
      <c r="F45" t="s">
        <v>15</v>
      </c>
      <c r="G45">
        <v>8</v>
      </c>
      <c r="H45">
        <v>6</v>
      </c>
      <c r="I45">
        <v>0</v>
      </c>
      <c r="J45">
        <v>3.1</v>
      </c>
      <c r="K45" t="str" cm="1">
        <f t="array" ref="K4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46" spans="1:11" x14ac:dyDescent="0.35">
      <c r="A46" s="16" t="s">
        <v>10</v>
      </c>
      <c r="B46" t="s">
        <v>48</v>
      </c>
      <c r="C46" t="s">
        <v>49</v>
      </c>
      <c r="D46" t="s">
        <v>21</v>
      </c>
      <c r="E46" t="s">
        <v>18</v>
      </c>
      <c r="F46" t="s">
        <v>15</v>
      </c>
      <c r="G46">
        <v>4</v>
      </c>
      <c r="H46">
        <v>3</v>
      </c>
      <c r="I46">
        <v>0</v>
      </c>
      <c r="J46">
        <v>3.3</v>
      </c>
      <c r="K46" t="str" cm="1">
        <f t="array" ref="K4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47" spans="1:11" x14ac:dyDescent="0.35">
      <c r="A47" s="16" t="s">
        <v>61</v>
      </c>
      <c r="B47" t="s">
        <v>56</v>
      </c>
      <c r="C47" t="s">
        <v>57</v>
      </c>
      <c r="D47" t="s">
        <v>22</v>
      </c>
      <c r="E47" t="s">
        <v>27</v>
      </c>
      <c r="F47" t="s">
        <v>15</v>
      </c>
      <c r="G47">
        <v>8</v>
      </c>
      <c r="H47">
        <v>7</v>
      </c>
      <c r="I47">
        <v>0</v>
      </c>
      <c r="J47">
        <v>2.9</v>
      </c>
      <c r="K47" t="str" cm="1">
        <f t="array" ref="K4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48" spans="1:11" x14ac:dyDescent="0.35">
      <c r="A48" s="16" t="s">
        <v>10</v>
      </c>
      <c r="B48" t="s">
        <v>16</v>
      </c>
      <c r="C48" t="s">
        <v>60</v>
      </c>
      <c r="D48" t="s">
        <v>32</v>
      </c>
      <c r="E48" t="s">
        <v>14</v>
      </c>
      <c r="F48" t="s">
        <v>15</v>
      </c>
      <c r="G48">
        <v>4</v>
      </c>
      <c r="H48">
        <v>4</v>
      </c>
      <c r="I48">
        <v>0</v>
      </c>
      <c r="J48">
        <v>3.4</v>
      </c>
      <c r="K48" t="str" cm="1">
        <f t="array" ref="K4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49" spans="1:11" x14ac:dyDescent="0.35">
      <c r="A49" s="16" t="s">
        <v>50</v>
      </c>
      <c r="B49" t="s">
        <v>11</v>
      </c>
      <c r="C49" t="s">
        <v>12</v>
      </c>
      <c r="D49" t="s">
        <v>26</v>
      </c>
      <c r="E49" t="s">
        <v>30</v>
      </c>
      <c r="F49" t="s">
        <v>19</v>
      </c>
      <c r="G49">
        <v>2</v>
      </c>
      <c r="H49">
        <v>2</v>
      </c>
      <c r="I49">
        <v>0</v>
      </c>
      <c r="J49">
        <v>2.4</v>
      </c>
      <c r="K49" t="str" cm="1">
        <f t="array" ref="K4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50" spans="1:11" x14ac:dyDescent="0.35">
      <c r="A50" s="16" t="s">
        <v>55</v>
      </c>
      <c r="B50" t="s">
        <v>11</v>
      </c>
      <c r="C50" t="s">
        <v>52</v>
      </c>
      <c r="D50" t="s">
        <v>40</v>
      </c>
      <c r="E50" t="s">
        <v>22</v>
      </c>
      <c r="F50" t="s">
        <v>15</v>
      </c>
      <c r="G50">
        <v>3</v>
      </c>
      <c r="H50">
        <v>1</v>
      </c>
      <c r="I50">
        <v>0</v>
      </c>
      <c r="J50">
        <v>4.2</v>
      </c>
      <c r="K50" t="str" cm="1">
        <f t="array" ref="K5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51" spans="1:11" x14ac:dyDescent="0.35">
      <c r="A51" s="16" t="s">
        <v>55</v>
      </c>
      <c r="B51" t="s">
        <v>24</v>
      </c>
      <c r="C51" t="s">
        <v>25</v>
      </c>
      <c r="D51" t="s">
        <v>32</v>
      </c>
      <c r="E51" t="s">
        <v>14</v>
      </c>
      <c r="F51" t="s">
        <v>15</v>
      </c>
      <c r="G51">
        <v>7</v>
      </c>
      <c r="H51">
        <v>5</v>
      </c>
      <c r="I51">
        <v>0</v>
      </c>
      <c r="J51">
        <v>2.5</v>
      </c>
      <c r="K51" t="str" cm="1">
        <f t="array" ref="K5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52" spans="1:11" x14ac:dyDescent="0.35">
      <c r="A52" s="16" t="s">
        <v>10</v>
      </c>
      <c r="B52" t="s">
        <v>46</v>
      </c>
      <c r="C52" t="s">
        <v>47</v>
      </c>
      <c r="D52" t="s">
        <v>13</v>
      </c>
      <c r="E52" t="s">
        <v>30</v>
      </c>
      <c r="F52" t="s">
        <v>15</v>
      </c>
      <c r="G52">
        <v>1</v>
      </c>
      <c r="H52">
        <v>1</v>
      </c>
      <c r="I52">
        <v>0</v>
      </c>
      <c r="J52">
        <v>4.3</v>
      </c>
      <c r="K52" t="str" cm="1">
        <f t="array" ref="K5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53" spans="1:11" x14ac:dyDescent="0.35">
      <c r="A53" s="16" t="s">
        <v>61</v>
      </c>
      <c r="B53" t="s">
        <v>41</v>
      </c>
      <c r="C53" t="s">
        <v>44</v>
      </c>
      <c r="D53" t="s">
        <v>13</v>
      </c>
      <c r="E53" t="s">
        <v>27</v>
      </c>
      <c r="F53" t="s">
        <v>15</v>
      </c>
      <c r="G53">
        <v>7</v>
      </c>
      <c r="H53">
        <v>5</v>
      </c>
      <c r="I53">
        <v>0</v>
      </c>
      <c r="J53">
        <v>3.8</v>
      </c>
      <c r="K53" t="str" cm="1">
        <f t="array" ref="K5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54" spans="1:11" x14ac:dyDescent="0.35">
      <c r="A54" s="16" t="s">
        <v>43</v>
      </c>
      <c r="B54" t="s">
        <v>37</v>
      </c>
      <c r="C54" t="s">
        <v>39</v>
      </c>
      <c r="D54" t="s">
        <v>26</v>
      </c>
      <c r="E54" t="s">
        <v>14</v>
      </c>
      <c r="F54" t="s">
        <v>15</v>
      </c>
      <c r="G54">
        <v>7</v>
      </c>
      <c r="H54">
        <v>6</v>
      </c>
      <c r="I54">
        <v>0</v>
      </c>
      <c r="J54">
        <v>4.2</v>
      </c>
      <c r="K54" t="str" cm="1">
        <f t="array" ref="K5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55" spans="1:11" x14ac:dyDescent="0.35">
      <c r="A55" s="16" t="s">
        <v>45</v>
      </c>
      <c r="B55" t="s">
        <v>46</v>
      </c>
      <c r="C55" t="s">
        <v>54</v>
      </c>
      <c r="D55" t="s">
        <v>21</v>
      </c>
      <c r="E55" t="s">
        <v>27</v>
      </c>
      <c r="F55" t="s">
        <v>15</v>
      </c>
      <c r="G55">
        <v>5</v>
      </c>
      <c r="H55">
        <v>4</v>
      </c>
      <c r="I55">
        <v>0</v>
      </c>
      <c r="J55">
        <v>4.8</v>
      </c>
      <c r="K55" t="str" cm="1">
        <f t="array" ref="K5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56" spans="1:11" x14ac:dyDescent="0.35">
      <c r="A56" s="16" t="s">
        <v>43</v>
      </c>
      <c r="B56" t="s">
        <v>46</v>
      </c>
      <c r="C56" t="s">
        <v>47</v>
      </c>
      <c r="D56" t="s">
        <v>13</v>
      </c>
      <c r="E56" t="s">
        <v>27</v>
      </c>
      <c r="F56" t="s">
        <v>19</v>
      </c>
      <c r="G56">
        <v>4</v>
      </c>
      <c r="H56">
        <v>2</v>
      </c>
      <c r="I56">
        <v>2</v>
      </c>
      <c r="J56">
        <v>3.3</v>
      </c>
      <c r="K56" t="str" cm="1">
        <f t="array" ref="K5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57" spans="1:11" x14ac:dyDescent="0.35">
      <c r="A57" s="16" t="s">
        <v>55</v>
      </c>
      <c r="B57" t="s">
        <v>28</v>
      </c>
      <c r="C57" t="s">
        <v>29</v>
      </c>
      <c r="D57" t="s">
        <v>26</v>
      </c>
      <c r="E57" t="s">
        <v>14</v>
      </c>
      <c r="F57" t="s">
        <v>15</v>
      </c>
      <c r="G57">
        <v>9</v>
      </c>
      <c r="H57">
        <v>7</v>
      </c>
      <c r="I57">
        <v>1</v>
      </c>
      <c r="J57">
        <v>4.9000000000000004</v>
      </c>
      <c r="K57" t="str" cm="1">
        <f t="array" ref="K5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58" spans="1:11" x14ac:dyDescent="0.35">
      <c r="A58" s="16" t="s">
        <v>45</v>
      </c>
      <c r="B58" t="s">
        <v>24</v>
      </c>
      <c r="C58" t="s">
        <v>25</v>
      </c>
      <c r="D58" t="s">
        <v>21</v>
      </c>
      <c r="E58" t="s">
        <v>30</v>
      </c>
      <c r="F58" t="s">
        <v>19</v>
      </c>
      <c r="G58">
        <v>1</v>
      </c>
      <c r="H58">
        <v>1</v>
      </c>
      <c r="I58">
        <v>0</v>
      </c>
      <c r="J58">
        <v>1.3</v>
      </c>
      <c r="K58" t="str" cm="1">
        <f t="array" ref="K5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59" spans="1:11" x14ac:dyDescent="0.35">
      <c r="A59" s="16" t="s">
        <v>20</v>
      </c>
      <c r="B59" t="s">
        <v>34</v>
      </c>
      <c r="C59" t="s">
        <v>35</v>
      </c>
      <c r="D59" t="s">
        <v>26</v>
      </c>
      <c r="E59" t="s">
        <v>53</v>
      </c>
      <c r="F59" t="s">
        <v>15</v>
      </c>
      <c r="G59">
        <v>6</v>
      </c>
      <c r="H59">
        <v>5</v>
      </c>
      <c r="I59">
        <v>1</v>
      </c>
      <c r="J59">
        <v>4.4000000000000004</v>
      </c>
      <c r="K59" t="str" cm="1">
        <f t="array" ref="K5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60" spans="1:11" x14ac:dyDescent="0.35">
      <c r="A60" s="16" t="s">
        <v>50</v>
      </c>
      <c r="B60" t="s">
        <v>16</v>
      </c>
      <c r="C60" t="s">
        <v>60</v>
      </c>
      <c r="D60" t="s">
        <v>21</v>
      </c>
      <c r="E60" t="s">
        <v>18</v>
      </c>
      <c r="F60" t="s">
        <v>19</v>
      </c>
      <c r="G60">
        <v>8</v>
      </c>
      <c r="H60">
        <v>6</v>
      </c>
      <c r="I60">
        <v>0</v>
      </c>
      <c r="J60">
        <v>3.7</v>
      </c>
      <c r="K60" t="str" cm="1">
        <f t="array" ref="K6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1" spans="1:11" x14ac:dyDescent="0.35">
      <c r="A61" s="16" t="s">
        <v>55</v>
      </c>
      <c r="B61" t="s">
        <v>37</v>
      </c>
      <c r="C61" t="s">
        <v>38</v>
      </c>
      <c r="D61" t="s">
        <v>32</v>
      </c>
      <c r="E61" t="s">
        <v>30</v>
      </c>
      <c r="F61" t="s">
        <v>19</v>
      </c>
      <c r="G61">
        <v>6</v>
      </c>
      <c r="H61">
        <v>5</v>
      </c>
      <c r="I61">
        <v>0</v>
      </c>
      <c r="J61">
        <v>1.9</v>
      </c>
      <c r="K61" t="str" cm="1">
        <f t="array" ref="K6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62" spans="1:11" x14ac:dyDescent="0.35">
      <c r="A62" s="16" t="s">
        <v>31</v>
      </c>
      <c r="B62" t="s">
        <v>56</v>
      </c>
      <c r="C62" t="s">
        <v>57</v>
      </c>
      <c r="D62" t="s">
        <v>22</v>
      </c>
      <c r="E62" t="s">
        <v>53</v>
      </c>
      <c r="F62" t="s">
        <v>15</v>
      </c>
      <c r="G62">
        <v>4</v>
      </c>
      <c r="H62">
        <v>3</v>
      </c>
      <c r="I62">
        <v>0</v>
      </c>
      <c r="J62">
        <v>2</v>
      </c>
      <c r="K62" t="str" cm="1">
        <f t="array" ref="K6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63" spans="1:11" x14ac:dyDescent="0.35">
      <c r="A63" s="16" t="s">
        <v>36</v>
      </c>
      <c r="B63" t="s">
        <v>41</v>
      </c>
      <c r="C63" t="s">
        <v>42</v>
      </c>
      <c r="D63" t="s">
        <v>32</v>
      </c>
      <c r="E63" t="s">
        <v>30</v>
      </c>
      <c r="F63" t="s">
        <v>15</v>
      </c>
      <c r="G63">
        <v>1</v>
      </c>
      <c r="H63">
        <v>1</v>
      </c>
      <c r="I63">
        <v>0</v>
      </c>
      <c r="J63">
        <v>3.7</v>
      </c>
      <c r="K63" t="str" cm="1">
        <f t="array" ref="K6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4" spans="1:11" x14ac:dyDescent="0.35">
      <c r="A64" s="16" t="s">
        <v>45</v>
      </c>
      <c r="B64" t="s">
        <v>37</v>
      </c>
      <c r="C64" t="s">
        <v>38</v>
      </c>
      <c r="D64" t="s">
        <v>13</v>
      </c>
      <c r="E64" t="s">
        <v>22</v>
      </c>
      <c r="F64" t="s">
        <v>19</v>
      </c>
      <c r="G64">
        <v>7</v>
      </c>
      <c r="H64">
        <v>5</v>
      </c>
      <c r="I64">
        <v>1</v>
      </c>
      <c r="J64">
        <v>1.3</v>
      </c>
      <c r="K64" t="str" cm="1">
        <f t="array" ref="K6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65" spans="1:11" x14ac:dyDescent="0.35">
      <c r="A65" s="16" t="s">
        <v>59</v>
      </c>
      <c r="B65" t="s">
        <v>41</v>
      </c>
      <c r="C65" t="s">
        <v>44</v>
      </c>
      <c r="D65" t="s">
        <v>22</v>
      </c>
      <c r="E65" t="s">
        <v>14</v>
      </c>
      <c r="F65" t="s">
        <v>15</v>
      </c>
      <c r="G65">
        <v>6</v>
      </c>
      <c r="H65">
        <v>6</v>
      </c>
      <c r="I65">
        <v>0</v>
      </c>
      <c r="J65">
        <v>2.9</v>
      </c>
      <c r="K65" t="str" cm="1">
        <f t="array" ref="K6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6" spans="1:11" x14ac:dyDescent="0.35">
      <c r="A66" s="16" t="s">
        <v>45</v>
      </c>
      <c r="B66" t="s">
        <v>28</v>
      </c>
      <c r="C66" t="s">
        <v>29</v>
      </c>
      <c r="D66" t="s">
        <v>40</v>
      </c>
      <c r="E66" t="s">
        <v>27</v>
      </c>
      <c r="F66" t="s">
        <v>19</v>
      </c>
      <c r="G66">
        <v>3</v>
      </c>
      <c r="H66">
        <v>3</v>
      </c>
      <c r="I66">
        <v>1</v>
      </c>
      <c r="J66">
        <v>5.0999999999999996</v>
      </c>
      <c r="K66" t="str" cm="1">
        <f t="array" ref="K6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67" spans="1:11" x14ac:dyDescent="0.35">
      <c r="A67" s="16" t="s">
        <v>43</v>
      </c>
      <c r="B67" t="s">
        <v>34</v>
      </c>
      <c r="C67" t="s">
        <v>51</v>
      </c>
      <c r="D67" t="s">
        <v>13</v>
      </c>
      <c r="E67" t="s">
        <v>27</v>
      </c>
      <c r="F67" t="s">
        <v>15</v>
      </c>
      <c r="G67">
        <v>2</v>
      </c>
      <c r="H67">
        <v>2</v>
      </c>
      <c r="I67">
        <v>0</v>
      </c>
      <c r="J67">
        <v>2.7</v>
      </c>
      <c r="K67" t="str" cm="1">
        <f t="array" ref="K6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68" spans="1:11" x14ac:dyDescent="0.35">
      <c r="A68" s="16" t="s">
        <v>23</v>
      </c>
      <c r="B68" t="s">
        <v>46</v>
      </c>
      <c r="C68" t="s">
        <v>54</v>
      </c>
      <c r="D68" t="s">
        <v>40</v>
      </c>
      <c r="E68" t="s">
        <v>27</v>
      </c>
      <c r="F68" t="s">
        <v>15</v>
      </c>
      <c r="G68">
        <v>2</v>
      </c>
      <c r="H68">
        <v>2</v>
      </c>
      <c r="I68">
        <v>0</v>
      </c>
      <c r="J68">
        <v>3.1</v>
      </c>
      <c r="K68" t="str" cm="1">
        <f t="array" ref="K6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69" spans="1:11" x14ac:dyDescent="0.35">
      <c r="A69" s="16" t="s">
        <v>20</v>
      </c>
      <c r="B69" t="s">
        <v>34</v>
      </c>
      <c r="C69" t="s">
        <v>51</v>
      </c>
      <c r="D69" t="s">
        <v>40</v>
      </c>
      <c r="E69" t="s">
        <v>18</v>
      </c>
      <c r="F69" t="s">
        <v>19</v>
      </c>
      <c r="G69">
        <v>4</v>
      </c>
      <c r="H69">
        <v>3</v>
      </c>
      <c r="I69">
        <v>1</v>
      </c>
      <c r="J69">
        <v>0.7</v>
      </c>
      <c r="K69" t="str" cm="1">
        <f t="array" ref="K6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70" spans="1:11" x14ac:dyDescent="0.35">
      <c r="A70" s="16" t="s">
        <v>61</v>
      </c>
      <c r="B70" t="s">
        <v>46</v>
      </c>
      <c r="C70" t="s">
        <v>54</v>
      </c>
      <c r="D70" t="s">
        <v>13</v>
      </c>
      <c r="E70" t="s">
        <v>18</v>
      </c>
      <c r="F70" t="s">
        <v>15</v>
      </c>
      <c r="G70">
        <v>4</v>
      </c>
      <c r="H70">
        <v>4</v>
      </c>
      <c r="I70">
        <v>0</v>
      </c>
      <c r="J70">
        <v>5.4</v>
      </c>
      <c r="K70" t="str" cm="1">
        <f t="array" ref="K7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1" spans="1:11" x14ac:dyDescent="0.35">
      <c r="A71" s="16" t="s">
        <v>10</v>
      </c>
      <c r="B71" t="s">
        <v>16</v>
      </c>
      <c r="C71" t="s">
        <v>17</v>
      </c>
      <c r="D71" t="s">
        <v>26</v>
      </c>
      <c r="E71" t="s">
        <v>27</v>
      </c>
      <c r="F71" t="s">
        <v>15</v>
      </c>
      <c r="G71">
        <v>3</v>
      </c>
      <c r="H71">
        <v>3</v>
      </c>
      <c r="I71">
        <v>0</v>
      </c>
      <c r="J71">
        <v>2.7</v>
      </c>
      <c r="K71" t="str" cm="1">
        <f t="array" ref="K7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2" spans="1:11" x14ac:dyDescent="0.35">
      <c r="A72" s="16" t="s">
        <v>59</v>
      </c>
      <c r="B72" t="s">
        <v>28</v>
      </c>
      <c r="C72" t="s">
        <v>29</v>
      </c>
      <c r="D72" t="s">
        <v>22</v>
      </c>
      <c r="E72" t="s">
        <v>18</v>
      </c>
      <c r="F72" t="s">
        <v>19</v>
      </c>
      <c r="G72">
        <v>5</v>
      </c>
      <c r="H72">
        <v>5</v>
      </c>
      <c r="I72">
        <v>0</v>
      </c>
      <c r="J72">
        <v>2.8</v>
      </c>
      <c r="K72" t="str" cm="1">
        <f t="array" ref="K7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73" spans="1:11" x14ac:dyDescent="0.35">
      <c r="A73" s="16" t="s">
        <v>33</v>
      </c>
      <c r="B73" t="s">
        <v>46</v>
      </c>
      <c r="C73" t="s">
        <v>54</v>
      </c>
      <c r="D73" t="s">
        <v>32</v>
      </c>
      <c r="E73" t="s">
        <v>22</v>
      </c>
      <c r="F73" t="s">
        <v>19</v>
      </c>
      <c r="G73">
        <v>3</v>
      </c>
      <c r="H73">
        <v>2</v>
      </c>
      <c r="I73">
        <v>0</v>
      </c>
      <c r="J73">
        <v>3</v>
      </c>
      <c r="K73" t="str" cm="1">
        <f t="array" ref="K7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74" spans="1:11" x14ac:dyDescent="0.35">
      <c r="A74" s="16" t="s">
        <v>33</v>
      </c>
      <c r="B74" t="s">
        <v>24</v>
      </c>
      <c r="C74" t="s">
        <v>25</v>
      </c>
      <c r="D74" t="s">
        <v>21</v>
      </c>
      <c r="E74" t="s">
        <v>30</v>
      </c>
      <c r="F74" t="s">
        <v>15</v>
      </c>
      <c r="G74">
        <v>6</v>
      </c>
      <c r="H74">
        <v>6</v>
      </c>
      <c r="I74">
        <v>0</v>
      </c>
      <c r="J74">
        <v>2.1</v>
      </c>
      <c r="K74" t="str" cm="1">
        <f t="array" ref="K7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75" spans="1:11" x14ac:dyDescent="0.35">
      <c r="A75" s="16" t="s">
        <v>10</v>
      </c>
      <c r="B75" t="s">
        <v>28</v>
      </c>
      <c r="C75" t="s">
        <v>58</v>
      </c>
      <c r="D75" t="s">
        <v>40</v>
      </c>
      <c r="E75" t="s">
        <v>27</v>
      </c>
      <c r="F75" t="s">
        <v>15</v>
      </c>
      <c r="G75">
        <v>6</v>
      </c>
      <c r="H75">
        <v>6</v>
      </c>
      <c r="I75">
        <v>0</v>
      </c>
      <c r="J75">
        <v>1.6</v>
      </c>
      <c r="K75" t="str" cm="1">
        <f t="array" ref="K7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6" spans="1:11" x14ac:dyDescent="0.35">
      <c r="A76" s="16" t="s">
        <v>61</v>
      </c>
      <c r="B76" t="s">
        <v>16</v>
      </c>
      <c r="C76" t="s">
        <v>17</v>
      </c>
      <c r="D76" t="s">
        <v>22</v>
      </c>
      <c r="E76" t="s">
        <v>30</v>
      </c>
      <c r="F76" t="s">
        <v>15</v>
      </c>
      <c r="G76">
        <v>3</v>
      </c>
      <c r="H76">
        <v>2</v>
      </c>
      <c r="I76">
        <v>0</v>
      </c>
      <c r="J76">
        <v>0.5</v>
      </c>
      <c r="K76" t="str" cm="1">
        <f t="array" ref="K7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7" spans="1:11" x14ac:dyDescent="0.35">
      <c r="A77" s="16" t="s">
        <v>45</v>
      </c>
      <c r="B77" t="s">
        <v>48</v>
      </c>
      <c r="C77" t="s">
        <v>49</v>
      </c>
      <c r="D77" t="s">
        <v>26</v>
      </c>
      <c r="E77" t="s">
        <v>18</v>
      </c>
      <c r="F77" t="s">
        <v>15</v>
      </c>
      <c r="G77">
        <v>7</v>
      </c>
      <c r="H77">
        <v>6</v>
      </c>
      <c r="I77">
        <v>1</v>
      </c>
      <c r="J77">
        <v>3.7</v>
      </c>
      <c r="K77" t="str" cm="1">
        <f t="array" ref="K7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78" spans="1:11" x14ac:dyDescent="0.35">
      <c r="A78" s="16" t="s">
        <v>23</v>
      </c>
      <c r="B78" t="s">
        <v>28</v>
      </c>
      <c r="C78" t="s">
        <v>29</v>
      </c>
      <c r="D78" t="s">
        <v>32</v>
      </c>
      <c r="E78" t="s">
        <v>22</v>
      </c>
      <c r="F78" t="s">
        <v>19</v>
      </c>
      <c r="G78">
        <v>5</v>
      </c>
      <c r="H78">
        <v>5</v>
      </c>
      <c r="I78">
        <v>0</v>
      </c>
      <c r="J78">
        <v>2.5</v>
      </c>
      <c r="K78" t="str" cm="1">
        <f t="array" ref="K7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9" spans="1:11" x14ac:dyDescent="0.35">
      <c r="A79" s="16" t="s">
        <v>45</v>
      </c>
      <c r="B79" t="s">
        <v>28</v>
      </c>
      <c r="C79" t="s">
        <v>58</v>
      </c>
      <c r="D79" t="s">
        <v>40</v>
      </c>
      <c r="E79" t="s">
        <v>22</v>
      </c>
      <c r="F79" t="s">
        <v>19</v>
      </c>
      <c r="G79">
        <v>5</v>
      </c>
      <c r="H79">
        <v>5</v>
      </c>
      <c r="I79">
        <v>0</v>
      </c>
      <c r="J79">
        <v>2.7</v>
      </c>
      <c r="K79" t="str" cm="1">
        <f t="array" ref="K7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80" spans="1:11" x14ac:dyDescent="0.35">
      <c r="A80" s="16" t="s">
        <v>45</v>
      </c>
      <c r="B80" t="s">
        <v>56</v>
      </c>
      <c r="C80" t="s">
        <v>62</v>
      </c>
      <c r="D80" t="s">
        <v>13</v>
      </c>
      <c r="E80" t="s">
        <v>14</v>
      </c>
      <c r="F80" t="s">
        <v>15</v>
      </c>
      <c r="G80">
        <v>3</v>
      </c>
      <c r="H80">
        <v>2</v>
      </c>
      <c r="I80">
        <v>0</v>
      </c>
      <c r="J80">
        <v>4.0999999999999996</v>
      </c>
      <c r="K80" t="str" cm="1">
        <f t="array" ref="K8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81" spans="1:11" x14ac:dyDescent="0.35">
      <c r="A81" s="16" t="s">
        <v>20</v>
      </c>
      <c r="B81" t="s">
        <v>56</v>
      </c>
      <c r="C81" t="s">
        <v>57</v>
      </c>
      <c r="D81" t="s">
        <v>32</v>
      </c>
      <c r="E81" t="s">
        <v>22</v>
      </c>
      <c r="F81" t="s">
        <v>15</v>
      </c>
      <c r="G81">
        <v>7</v>
      </c>
      <c r="H81">
        <v>6</v>
      </c>
      <c r="I81">
        <v>1</v>
      </c>
      <c r="J81">
        <v>3.8</v>
      </c>
      <c r="K81" t="str" cm="1">
        <f t="array" ref="K8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2" spans="1:11" x14ac:dyDescent="0.35">
      <c r="A82" s="16" t="s">
        <v>59</v>
      </c>
      <c r="B82" t="s">
        <v>48</v>
      </c>
      <c r="C82" t="s">
        <v>63</v>
      </c>
      <c r="D82" t="s">
        <v>40</v>
      </c>
      <c r="E82" t="s">
        <v>27</v>
      </c>
      <c r="F82" t="s">
        <v>19</v>
      </c>
      <c r="G82">
        <v>3</v>
      </c>
      <c r="H82">
        <v>2</v>
      </c>
      <c r="I82">
        <v>0</v>
      </c>
      <c r="J82">
        <v>2.4</v>
      </c>
      <c r="K82" t="str" cm="1">
        <f t="array" ref="K8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83" spans="1:11" x14ac:dyDescent="0.35">
      <c r="A83" s="16" t="s">
        <v>20</v>
      </c>
      <c r="B83" t="s">
        <v>56</v>
      </c>
      <c r="C83" t="s">
        <v>57</v>
      </c>
      <c r="D83" t="s">
        <v>32</v>
      </c>
      <c r="E83" t="s">
        <v>22</v>
      </c>
      <c r="F83" t="s">
        <v>19</v>
      </c>
      <c r="G83">
        <v>5</v>
      </c>
      <c r="H83">
        <v>4</v>
      </c>
      <c r="I83">
        <v>0</v>
      </c>
      <c r="J83">
        <v>3.6</v>
      </c>
      <c r="K83" t="str" cm="1">
        <f t="array" ref="K8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4" spans="1:11" x14ac:dyDescent="0.35">
      <c r="A84" s="16" t="s">
        <v>10</v>
      </c>
      <c r="B84" t="s">
        <v>56</v>
      </c>
      <c r="C84" t="s">
        <v>62</v>
      </c>
      <c r="D84" t="s">
        <v>22</v>
      </c>
      <c r="E84" t="s">
        <v>14</v>
      </c>
      <c r="F84" t="s">
        <v>19</v>
      </c>
      <c r="G84">
        <v>7</v>
      </c>
      <c r="H84">
        <v>5</v>
      </c>
      <c r="I84">
        <v>0</v>
      </c>
      <c r="J84">
        <v>3.9</v>
      </c>
      <c r="K84" t="str" cm="1">
        <f t="array" ref="K8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85" spans="1:11" x14ac:dyDescent="0.35">
      <c r="A85" s="16" t="s">
        <v>55</v>
      </c>
      <c r="B85" t="s">
        <v>37</v>
      </c>
      <c r="C85" t="s">
        <v>39</v>
      </c>
      <c r="D85" t="s">
        <v>40</v>
      </c>
      <c r="E85" t="s">
        <v>18</v>
      </c>
      <c r="F85" t="s">
        <v>15</v>
      </c>
      <c r="G85">
        <v>5</v>
      </c>
      <c r="H85">
        <v>4</v>
      </c>
      <c r="I85">
        <v>0</v>
      </c>
      <c r="J85">
        <v>3.1</v>
      </c>
      <c r="K85" t="str" cm="1">
        <f t="array" ref="K8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86" spans="1:11" x14ac:dyDescent="0.35">
      <c r="A86" s="16" t="s">
        <v>45</v>
      </c>
      <c r="B86" t="s">
        <v>41</v>
      </c>
      <c r="C86" t="s">
        <v>44</v>
      </c>
      <c r="D86" t="s">
        <v>40</v>
      </c>
      <c r="E86" t="s">
        <v>53</v>
      </c>
      <c r="F86" t="s">
        <v>15</v>
      </c>
      <c r="G86">
        <v>5</v>
      </c>
      <c r="H86">
        <v>4</v>
      </c>
      <c r="I86">
        <v>0</v>
      </c>
      <c r="J86">
        <v>4.5</v>
      </c>
      <c r="K86" t="str" cm="1">
        <f t="array" ref="K8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87" spans="1:11" x14ac:dyDescent="0.35">
      <c r="A87" s="16" t="s">
        <v>45</v>
      </c>
      <c r="B87" t="s">
        <v>28</v>
      </c>
      <c r="C87" t="s">
        <v>29</v>
      </c>
      <c r="D87" t="s">
        <v>13</v>
      </c>
      <c r="E87" t="s">
        <v>18</v>
      </c>
      <c r="F87" t="s">
        <v>19</v>
      </c>
      <c r="G87">
        <v>5</v>
      </c>
      <c r="H87">
        <v>5</v>
      </c>
      <c r="I87">
        <v>1</v>
      </c>
      <c r="J87">
        <v>3.4</v>
      </c>
      <c r="K87" t="str" cm="1">
        <f t="array" ref="K8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88" spans="1:11" x14ac:dyDescent="0.35">
      <c r="A88" s="16" t="s">
        <v>23</v>
      </c>
      <c r="B88" t="s">
        <v>37</v>
      </c>
      <c r="C88" t="s">
        <v>39</v>
      </c>
      <c r="D88" t="s">
        <v>32</v>
      </c>
      <c r="E88" t="s">
        <v>22</v>
      </c>
      <c r="F88" t="s">
        <v>19</v>
      </c>
      <c r="G88">
        <v>6</v>
      </c>
      <c r="H88">
        <v>6</v>
      </c>
      <c r="I88">
        <v>0</v>
      </c>
      <c r="J88">
        <v>1.2</v>
      </c>
      <c r="K88" t="str" cm="1">
        <f t="array" ref="K8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89" spans="1:11" x14ac:dyDescent="0.35">
      <c r="A89" s="16" t="s">
        <v>45</v>
      </c>
      <c r="B89" t="s">
        <v>16</v>
      </c>
      <c r="C89" t="s">
        <v>17</v>
      </c>
      <c r="D89" t="s">
        <v>32</v>
      </c>
      <c r="E89" t="s">
        <v>22</v>
      </c>
      <c r="F89" t="s">
        <v>19</v>
      </c>
      <c r="G89">
        <v>6</v>
      </c>
      <c r="H89">
        <v>5</v>
      </c>
      <c r="I89">
        <v>1</v>
      </c>
      <c r="J89">
        <v>4.5</v>
      </c>
      <c r="K89" t="str" cm="1">
        <f t="array" ref="K8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90" spans="1:11" x14ac:dyDescent="0.35">
      <c r="A90" s="16" t="s">
        <v>59</v>
      </c>
      <c r="B90" t="s">
        <v>28</v>
      </c>
      <c r="C90" t="s">
        <v>29</v>
      </c>
      <c r="D90" t="s">
        <v>13</v>
      </c>
      <c r="E90" t="s">
        <v>30</v>
      </c>
      <c r="F90" t="s">
        <v>15</v>
      </c>
      <c r="G90">
        <v>7</v>
      </c>
      <c r="H90">
        <v>6</v>
      </c>
      <c r="I90">
        <v>1</v>
      </c>
      <c r="J90">
        <v>2.9</v>
      </c>
      <c r="K90" t="str" cm="1">
        <f t="array" ref="K9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1" spans="1:11" x14ac:dyDescent="0.35">
      <c r="A91" s="16" t="s">
        <v>10</v>
      </c>
      <c r="B91" t="s">
        <v>41</v>
      </c>
      <c r="C91" t="s">
        <v>44</v>
      </c>
      <c r="D91" t="s">
        <v>22</v>
      </c>
      <c r="E91" t="s">
        <v>18</v>
      </c>
      <c r="F91" t="s">
        <v>19</v>
      </c>
      <c r="G91">
        <v>6</v>
      </c>
      <c r="H91">
        <v>5</v>
      </c>
      <c r="I91">
        <v>0</v>
      </c>
      <c r="J91">
        <v>3.8</v>
      </c>
      <c r="K91" t="str" cm="1">
        <f t="array" ref="K9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92" spans="1:11" x14ac:dyDescent="0.35">
      <c r="A92" s="16" t="s">
        <v>23</v>
      </c>
      <c r="B92" t="s">
        <v>34</v>
      </c>
      <c r="C92" t="s">
        <v>51</v>
      </c>
      <c r="D92" t="s">
        <v>21</v>
      </c>
      <c r="E92" t="s">
        <v>27</v>
      </c>
      <c r="F92" t="s">
        <v>15</v>
      </c>
      <c r="G92">
        <v>3</v>
      </c>
      <c r="H92">
        <v>3</v>
      </c>
      <c r="I92">
        <v>0</v>
      </c>
      <c r="J92">
        <v>3.8</v>
      </c>
      <c r="K92" t="str" cm="1">
        <f t="array" ref="K9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3" spans="1:11" x14ac:dyDescent="0.35">
      <c r="A93" s="16" t="s">
        <v>33</v>
      </c>
      <c r="B93" t="s">
        <v>11</v>
      </c>
      <c r="C93" t="s">
        <v>12</v>
      </c>
      <c r="D93" t="s">
        <v>22</v>
      </c>
      <c r="E93" t="s">
        <v>18</v>
      </c>
      <c r="F93" t="s">
        <v>15</v>
      </c>
      <c r="G93">
        <v>5</v>
      </c>
      <c r="H93">
        <v>5</v>
      </c>
      <c r="I93">
        <v>0</v>
      </c>
      <c r="J93">
        <v>3.1</v>
      </c>
      <c r="K93" t="str" cm="1">
        <f t="array" ref="K9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94" spans="1:11" x14ac:dyDescent="0.35">
      <c r="A94" s="16" t="s">
        <v>23</v>
      </c>
      <c r="B94" t="s">
        <v>11</v>
      </c>
      <c r="C94" t="s">
        <v>52</v>
      </c>
      <c r="D94" t="s">
        <v>13</v>
      </c>
      <c r="E94" t="s">
        <v>53</v>
      </c>
      <c r="F94" t="s">
        <v>15</v>
      </c>
      <c r="G94">
        <v>6</v>
      </c>
      <c r="H94">
        <v>5</v>
      </c>
      <c r="I94">
        <v>0</v>
      </c>
      <c r="J94">
        <v>2.2000000000000002</v>
      </c>
      <c r="K94" t="str" cm="1">
        <f t="array" ref="K9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5" spans="1:11" x14ac:dyDescent="0.35">
      <c r="A95" s="16" t="s">
        <v>55</v>
      </c>
      <c r="B95" t="s">
        <v>16</v>
      </c>
      <c r="C95" t="s">
        <v>60</v>
      </c>
      <c r="D95" t="s">
        <v>22</v>
      </c>
      <c r="E95" t="s">
        <v>14</v>
      </c>
      <c r="F95" t="s">
        <v>15</v>
      </c>
      <c r="G95">
        <v>5</v>
      </c>
      <c r="H95">
        <v>4</v>
      </c>
      <c r="I95">
        <v>0</v>
      </c>
      <c r="J95">
        <v>2.8</v>
      </c>
      <c r="K95" t="str" cm="1">
        <f t="array" ref="K9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96" spans="1:11" x14ac:dyDescent="0.35">
      <c r="A96" s="16" t="s">
        <v>31</v>
      </c>
      <c r="B96" t="s">
        <v>11</v>
      </c>
      <c r="C96" t="s">
        <v>52</v>
      </c>
      <c r="D96" t="s">
        <v>13</v>
      </c>
      <c r="E96" t="s">
        <v>14</v>
      </c>
      <c r="F96" t="s">
        <v>19</v>
      </c>
      <c r="G96">
        <v>2</v>
      </c>
      <c r="H96">
        <v>2</v>
      </c>
      <c r="I96">
        <v>0</v>
      </c>
      <c r="J96">
        <v>2.7</v>
      </c>
      <c r="K96" t="str" cm="1">
        <f t="array" ref="K9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97" spans="1:11" x14ac:dyDescent="0.35">
      <c r="A97" s="16" t="s">
        <v>36</v>
      </c>
      <c r="B97" t="s">
        <v>34</v>
      </c>
      <c r="C97" t="s">
        <v>51</v>
      </c>
      <c r="D97" t="s">
        <v>13</v>
      </c>
      <c r="E97" t="s">
        <v>30</v>
      </c>
      <c r="F97" t="s">
        <v>15</v>
      </c>
      <c r="G97">
        <v>5</v>
      </c>
      <c r="H97">
        <v>4</v>
      </c>
      <c r="I97">
        <v>1</v>
      </c>
      <c r="J97">
        <v>4.5</v>
      </c>
      <c r="K97" t="str" cm="1">
        <f t="array" ref="K9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98" spans="1:11" x14ac:dyDescent="0.35">
      <c r="A98" s="16" t="s">
        <v>59</v>
      </c>
      <c r="B98" t="s">
        <v>48</v>
      </c>
      <c r="C98" t="s">
        <v>49</v>
      </c>
      <c r="D98" t="s">
        <v>13</v>
      </c>
      <c r="E98" t="s">
        <v>18</v>
      </c>
      <c r="F98" t="s">
        <v>19</v>
      </c>
      <c r="G98">
        <v>4</v>
      </c>
      <c r="H98">
        <v>4</v>
      </c>
      <c r="I98">
        <v>0</v>
      </c>
      <c r="J98">
        <v>2.9</v>
      </c>
      <c r="K98" t="str" cm="1">
        <f t="array" ref="K9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9" spans="1:11" x14ac:dyDescent="0.35">
      <c r="A99" s="16" t="s">
        <v>61</v>
      </c>
      <c r="B99" t="s">
        <v>41</v>
      </c>
      <c r="C99" t="s">
        <v>42</v>
      </c>
      <c r="D99" t="s">
        <v>13</v>
      </c>
      <c r="E99" t="s">
        <v>53</v>
      </c>
      <c r="F99" t="s">
        <v>15</v>
      </c>
      <c r="G99">
        <v>3</v>
      </c>
      <c r="H99">
        <v>3</v>
      </c>
      <c r="I99">
        <v>0</v>
      </c>
      <c r="J99">
        <v>3</v>
      </c>
      <c r="K99" t="str" cm="1">
        <f t="array" ref="K9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100" spans="1:11" x14ac:dyDescent="0.35">
      <c r="A100" s="16" t="s">
        <v>55</v>
      </c>
      <c r="B100" t="s">
        <v>37</v>
      </c>
      <c r="C100" t="s">
        <v>39</v>
      </c>
      <c r="D100" t="s">
        <v>13</v>
      </c>
      <c r="E100" t="s">
        <v>30</v>
      </c>
      <c r="F100" t="s">
        <v>15</v>
      </c>
      <c r="G100">
        <v>3</v>
      </c>
      <c r="H100">
        <v>3</v>
      </c>
      <c r="I100">
        <v>0</v>
      </c>
      <c r="J100">
        <v>3.2</v>
      </c>
      <c r="K100" t="str" cm="1">
        <f t="array" ref="K10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101" spans="1:11" x14ac:dyDescent="0.35">
      <c r="A101" s="16" t="s">
        <v>31</v>
      </c>
      <c r="B101" t="s">
        <v>16</v>
      </c>
      <c r="C101" t="s">
        <v>17</v>
      </c>
      <c r="D101" t="s">
        <v>21</v>
      </c>
      <c r="E101" t="s">
        <v>18</v>
      </c>
      <c r="F101" t="s">
        <v>19</v>
      </c>
      <c r="G101">
        <v>5</v>
      </c>
      <c r="H101">
        <v>5</v>
      </c>
      <c r="I101">
        <v>0</v>
      </c>
      <c r="J101">
        <v>3.3</v>
      </c>
      <c r="K101" t="str" cm="1">
        <f t="array" ref="K10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102" spans="1:11" x14ac:dyDescent="0.35">
      <c r="A102" s="16" t="s">
        <v>50</v>
      </c>
      <c r="B102" t="s">
        <v>34</v>
      </c>
      <c r="C102" t="s">
        <v>51</v>
      </c>
      <c r="D102" t="s">
        <v>22</v>
      </c>
      <c r="E102" t="s">
        <v>53</v>
      </c>
      <c r="F102" t="s">
        <v>15</v>
      </c>
      <c r="G102">
        <v>1</v>
      </c>
      <c r="H102">
        <v>1</v>
      </c>
      <c r="I102">
        <v>0</v>
      </c>
      <c r="J102">
        <v>1.8</v>
      </c>
      <c r="K102" t="str" cm="1">
        <f t="array" ref="K10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103" spans="1:11" x14ac:dyDescent="0.35">
      <c r="A103" s="16" t="s">
        <v>59</v>
      </c>
      <c r="B103" t="s">
        <v>46</v>
      </c>
      <c r="C103" t="s">
        <v>54</v>
      </c>
      <c r="D103" t="s">
        <v>21</v>
      </c>
      <c r="E103" t="s">
        <v>14</v>
      </c>
      <c r="F103" t="s">
        <v>19</v>
      </c>
      <c r="G103">
        <v>6</v>
      </c>
      <c r="H103">
        <v>6</v>
      </c>
      <c r="I103">
        <v>1</v>
      </c>
      <c r="J103">
        <v>2.2000000000000002</v>
      </c>
      <c r="K103" t="str" cm="1">
        <f t="array" ref="K10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104" spans="1:11" x14ac:dyDescent="0.35">
      <c r="A104" s="16" t="s">
        <v>43</v>
      </c>
      <c r="B104" t="s">
        <v>37</v>
      </c>
      <c r="C104" t="s">
        <v>38</v>
      </c>
      <c r="D104" t="s">
        <v>32</v>
      </c>
      <c r="E104" t="s">
        <v>18</v>
      </c>
      <c r="F104" t="s">
        <v>19</v>
      </c>
      <c r="G104">
        <v>7</v>
      </c>
      <c r="H104">
        <v>7</v>
      </c>
      <c r="I104">
        <v>0</v>
      </c>
      <c r="J104">
        <v>1.7</v>
      </c>
      <c r="K104" t="str" cm="1">
        <f t="array" ref="K10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105" spans="1:11" x14ac:dyDescent="0.35">
      <c r="A105" s="16" t="s">
        <v>61</v>
      </c>
      <c r="B105" t="s">
        <v>56</v>
      </c>
      <c r="C105" t="s">
        <v>57</v>
      </c>
      <c r="D105" t="s">
        <v>21</v>
      </c>
      <c r="E105" t="s">
        <v>27</v>
      </c>
      <c r="F105" t="s">
        <v>19</v>
      </c>
      <c r="G105">
        <v>5</v>
      </c>
      <c r="H105">
        <v>5</v>
      </c>
      <c r="I105">
        <v>1</v>
      </c>
      <c r="J105">
        <v>3.7</v>
      </c>
      <c r="K105" t="str" cm="1">
        <f t="array" ref="K10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106" spans="1:11" x14ac:dyDescent="0.35">
      <c r="A106" s="16" t="s">
        <v>23</v>
      </c>
      <c r="B106" t="s">
        <v>24</v>
      </c>
      <c r="C106" t="s">
        <v>25</v>
      </c>
      <c r="D106" t="s">
        <v>26</v>
      </c>
      <c r="E106" t="s">
        <v>18</v>
      </c>
      <c r="F106" t="s">
        <v>15</v>
      </c>
      <c r="G106">
        <v>4</v>
      </c>
      <c r="H106">
        <v>3</v>
      </c>
      <c r="I106">
        <v>0</v>
      </c>
      <c r="J106">
        <v>4.5999999999999996</v>
      </c>
      <c r="K106" t="str" cm="1">
        <f t="array" ref="K10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07" spans="1:11" x14ac:dyDescent="0.35">
      <c r="A107" s="16" t="s">
        <v>36</v>
      </c>
      <c r="B107" t="s">
        <v>37</v>
      </c>
      <c r="C107" t="s">
        <v>39</v>
      </c>
      <c r="D107" t="s">
        <v>32</v>
      </c>
      <c r="E107" t="s">
        <v>53</v>
      </c>
      <c r="F107" t="s">
        <v>19</v>
      </c>
      <c r="G107">
        <v>6</v>
      </c>
      <c r="H107">
        <v>6</v>
      </c>
      <c r="I107">
        <v>1</v>
      </c>
      <c r="J107">
        <v>4.5999999999999996</v>
      </c>
      <c r="K107" t="str" cm="1">
        <f t="array" ref="K10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108" spans="1:11" x14ac:dyDescent="0.35">
      <c r="A108" s="16" t="s">
        <v>20</v>
      </c>
      <c r="B108" t="s">
        <v>37</v>
      </c>
      <c r="C108" t="s">
        <v>38</v>
      </c>
      <c r="D108" t="s">
        <v>26</v>
      </c>
      <c r="E108" t="s">
        <v>14</v>
      </c>
      <c r="F108" t="s">
        <v>19</v>
      </c>
      <c r="G108">
        <v>3</v>
      </c>
      <c r="H108">
        <v>3</v>
      </c>
      <c r="I108">
        <v>0</v>
      </c>
      <c r="J108">
        <v>2</v>
      </c>
      <c r="K108" t="str" cm="1">
        <f t="array" ref="K10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109" spans="1:11" x14ac:dyDescent="0.35">
      <c r="A109" s="16" t="s">
        <v>23</v>
      </c>
      <c r="B109" t="s">
        <v>56</v>
      </c>
      <c r="C109" t="s">
        <v>62</v>
      </c>
      <c r="D109" t="s">
        <v>21</v>
      </c>
      <c r="E109" t="s">
        <v>27</v>
      </c>
      <c r="F109" t="s">
        <v>15</v>
      </c>
      <c r="G109">
        <v>6</v>
      </c>
      <c r="H109">
        <v>6</v>
      </c>
      <c r="I109">
        <v>0</v>
      </c>
      <c r="J109">
        <v>4.0999999999999996</v>
      </c>
      <c r="K109" t="str" cm="1">
        <f t="array" ref="K10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10" spans="1:11" x14ac:dyDescent="0.35">
      <c r="A110" s="16" t="s">
        <v>61</v>
      </c>
      <c r="B110" t="s">
        <v>56</v>
      </c>
      <c r="C110" t="s">
        <v>57</v>
      </c>
      <c r="D110" t="s">
        <v>13</v>
      </c>
      <c r="E110" t="s">
        <v>27</v>
      </c>
      <c r="F110" t="s">
        <v>15</v>
      </c>
      <c r="G110">
        <v>3</v>
      </c>
      <c r="H110">
        <v>2</v>
      </c>
      <c r="I110">
        <v>0</v>
      </c>
      <c r="J110">
        <v>3.2</v>
      </c>
      <c r="K110" t="str" cm="1">
        <f t="array" ref="K11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111" spans="1:11" x14ac:dyDescent="0.35">
      <c r="A111" s="16" t="s">
        <v>10</v>
      </c>
      <c r="B111" t="s">
        <v>28</v>
      </c>
      <c r="C111" t="s">
        <v>58</v>
      </c>
      <c r="D111" t="s">
        <v>13</v>
      </c>
      <c r="E111" t="s">
        <v>22</v>
      </c>
      <c r="F111" t="s">
        <v>19</v>
      </c>
      <c r="G111">
        <v>7</v>
      </c>
      <c r="H111">
        <v>6</v>
      </c>
      <c r="I111">
        <v>0</v>
      </c>
      <c r="J111">
        <v>2.7</v>
      </c>
      <c r="K111" t="str" cm="1">
        <f t="array" ref="K11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12" spans="1:11" x14ac:dyDescent="0.35">
      <c r="A112" s="16" t="s">
        <v>61</v>
      </c>
      <c r="B112" t="s">
        <v>28</v>
      </c>
      <c r="C112" t="s">
        <v>29</v>
      </c>
      <c r="D112" t="s">
        <v>13</v>
      </c>
      <c r="E112" t="s">
        <v>14</v>
      </c>
      <c r="F112" t="s">
        <v>15</v>
      </c>
      <c r="G112">
        <v>4</v>
      </c>
      <c r="H112">
        <v>4</v>
      </c>
      <c r="I112">
        <v>0</v>
      </c>
      <c r="J112">
        <v>3.4</v>
      </c>
      <c r="K112" t="str" cm="1">
        <f t="array" ref="K11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113" spans="1:11" x14ac:dyDescent="0.35">
      <c r="A113" s="16" t="s">
        <v>55</v>
      </c>
      <c r="B113" t="s">
        <v>37</v>
      </c>
      <c r="C113" t="s">
        <v>39</v>
      </c>
      <c r="D113" t="s">
        <v>22</v>
      </c>
      <c r="E113" t="s">
        <v>14</v>
      </c>
      <c r="F113" t="s">
        <v>15</v>
      </c>
      <c r="G113">
        <v>9</v>
      </c>
      <c r="H113">
        <v>8</v>
      </c>
      <c r="I113">
        <v>1</v>
      </c>
      <c r="J113">
        <v>3.6</v>
      </c>
      <c r="K113" t="str" cm="1">
        <f t="array" ref="K11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114" spans="1:11" x14ac:dyDescent="0.35">
      <c r="A114" s="16" t="s">
        <v>43</v>
      </c>
      <c r="B114" t="s">
        <v>37</v>
      </c>
      <c r="C114" t="s">
        <v>38</v>
      </c>
      <c r="D114" t="s">
        <v>22</v>
      </c>
      <c r="E114" t="s">
        <v>18</v>
      </c>
      <c r="F114" t="s">
        <v>15</v>
      </c>
      <c r="G114">
        <v>3</v>
      </c>
      <c r="H114">
        <v>3</v>
      </c>
      <c r="I114">
        <v>0</v>
      </c>
      <c r="J114">
        <v>3</v>
      </c>
      <c r="K114" t="str" cm="1">
        <f t="array" ref="K11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115" spans="1:11" x14ac:dyDescent="0.35">
      <c r="A115" s="16" t="s">
        <v>50</v>
      </c>
      <c r="B115" t="s">
        <v>37</v>
      </c>
      <c r="C115" t="s">
        <v>38</v>
      </c>
      <c r="D115" t="s">
        <v>26</v>
      </c>
      <c r="E115" t="s">
        <v>22</v>
      </c>
      <c r="F115" t="s">
        <v>15</v>
      </c>
      <c r="G115">
        <v>5</v>
      </c>
      <c r="H115">
        <v>5</v>
      </c>
      <c r="I115">
        <v>0</v>
      </c>
      <c r="J115">
        <v>3.7</v>
      </c>
      <c r="K115" t="str" cm="1">
        <f t="array" ref="K11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116" spans="1:11" x14ac:dyDescent="0.35">
      <c r="A116" s="16" t="s">
        <v>36</v>
      </c>
      <c r="B116" t="s">
        <v>56</v>
      </c>
      <c r="C116" t="s">
        <v>57</v>
      </c>
      <c r="D116" t="s">
        <v>26</v>
      </c>
      <c r="E116" t="s">
        <v>14</v>
      </c>
      <c r="F116" t="s">
        <v>15</v>
      </c>
      <c r="G116">
        <v>4</v>
      </c>
      <c r="H116">
        <v>4</v>
      </c>
      <c r="I116">
        <v>0</v>
      </c>
      <c r="J116">
        <v>2.2999999999999998</v>
      </c>
      <c r="K116" t="str" cm="1">
        <f t="array" ref="K11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117" spans="1:11" x14ac:dyDescent="0.35">
      <c r="A117" s="16" t="s">
        <v>10</v>
      </c>
      <c r="B117" t="s">
        <v>56</v>
      </c>
      <c r="C117" t="s">
        <v>62</v>
      </c>
      <c r="D117" t="s">
        <v>22</v>
      </c>
      <c r="E117" t="s">
        <v>53</v>
      </c>
      <c r="F117" t="s">
        <v>19</v>
      </c>
      <c r="G117">
        <v>4</v>
      </c>
      <c r="H117">
        <v>3</v>
      </c>
      <c r="I117">
        <v>0</v>
      </c>
      <c r="J117">
        <v>4</v>
      </c>
      <c r="K117" t="str" cm="1">
        <f t="array" ref="K11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18" spans="1:11" x14ac:dyDescent="0.35">
      <c r="A118" s="16" t="s">
        <v>55</v>
      </c>
      <c r="B118" t="s">
        <v>11</v>
      </c>
      <c r="C118" t="s">
        <v>52</v>
      </c>
      <c r="D118" t="s">
        <v>40</v>
      </c>
      <c r="E118" t="s">
        <v>14</v>
      </c>
      <c r="F118" t="s">
        <v>15</v>
      </c>
      <c r="G118">
        <v>13</v>
      </c>
      <c r="H118">
        <v>12</v>
      </c>
      <c r="I118">
        <v>1</v>
      </c>
      <c r="J118">
        <v>2.6</v>
      </c>
      <c r="K118" t="str" cm="1">
        <f t="array" ref="K11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119" spans="1:11" x14ac:dyDescent="0.35">
      <c r="A119" s="16" t="s">
        <v>50</v>
      </c>
      <c r="B119" t="s">
        <v>56</v>
      </c>
      <c r="C119" t="s">
        <v>57</v>
      </c>
      <c r="D119" t="s">
        <v>40</v>
      </c>
      <c r="E119" t="s">
        <v>22</v>
      </c>
      <c r="F119" t="s">
        <v>19</v>
      </c>
      <c r="G119">
        <v>4</v>
      </c>
      <c r="H119">
        <v>4</v>
      </c>
      <c r="I119">
        <v>2</v>
      </c>
      <c r="J119">
        <v>2.7</v>
      </c>
      <c r="K119" t="str" cm="1">
        <f t="array" ref="K11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120" spans="1:11" x14ac:dyDescent="0.35">
      <c r="A120" s="16" t="s">
        <v>20</v>
      </c>
      <c r="B120" t="s">
        <v>48</v>
      </c>
      <c r="C120" t="s">
        <v>49</v>
      </c>
      <c r="D120" t="s">
        <v>32</v>
      </c>
      <c r="E120" t="s">
        <v>14</v>
      </c>
      <c r="F120" t="s">
        <v>15</v>
      </c>
      <c r="G120">
        <v>6</v>
      </c>
      <c r="H120">
        <v>6</v>
      </c>
      <c r="I120">
        <v>1</v>
      </c>
      <c r="J120">
        <v>3</v>
      </c>
      <c r="K120" t="str" cm="1">
        <f t="array" ref="K12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121" spans="1:11" x14ac:dyDescent="0.35">
      <c r="A121" s="16" t="s">
        <v>23</v>
      </c>
      <c r="B121" t="s">
        <v>11</v>
      </c>
      <c r="C121" t="s">
        <v>12</v>
      </c>
      <c r="D121" t="s">
        <v>32</v>
      </c>
      <c r="E121" t="s">
        <v>53</v>
      </c>
      <c r="F121" t="s">
        <v>19</v>
      </c>
      <c r="G121">
        <v>7</v>
      </c>
      <c r="H121">
        <v>7</v>
      </c>
      <c r="I121">
        <v>0</v>
      </c>
      <c r="J121">
        <v>3.7</v>
      </c>
      <c r="K121" t="str" cm="1">
        <f t="array" ref="K12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22" spans="1:11" x14ac:dyDescent="0.35">
      <c r="A122" s="16" t="s">
        <v>10</v>
      </c>
      <c r="B122" t="s">
        <v>37</v>
      </c>
      <c r="C122" t="s">
        <v>38</v>
      </c>
      <c r="D122" t="s">
        <v>26</v>
      </c>
      <c r="E122" t="s">
        <v>18</v>
      </c>
      <c r="F122" t="s">
        <v>15</v>
      </c>
      <c r="G122">
        <v>4</v>
      </c>
      <c r="H122">
        <v>2</v>
      </c>
      <c r="I122">
        <v>1</v>
      </c>
      <c r="J122">
        <v>2.6</v>
      </c>
      <c r="K122" t="str" cm="1">
        <f t="array" ref="K12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23" spans="1:11" x14ac:dyDescent="0.35">
      <c r="A123" s="16" t="s">
        <v>55</v>
      </c>
      <c r="B123" t="s">
        <v>48</v>
      </c>
      <c r="C123" t="s">
        <v>49</v>
      </c>
      <c r="D123" t="s">
        <v>40</v>
      </c>
      <c r="E123" t="s">
        <v>30</v>
      </c>
      <c r="F123" t="s">
        <v>15</v>
      </c>
      <c r="G123">
        <v>5</v>
      </c>
      <c r="H123">
        <v>5</v>
      </c>
      <c r="I123">
        <v>0</v>
      </c>
      <c r="J123">
        <v>1.8</v>
      </c>
      <c r="K123" t="str" cm="1">
        <f t="array" ref="K12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124" spans="1:11" x14ac:dyDescent="0.35">
      <c r="A124" s="16" t="s">
        <v>50</v>
      </c>
      <c r="B124" t="s">
        <v>48</v>
      </c>
      <c r="C124" t="s">
        <v>49</v>
      </c>
      <c r="D124" t="s">
        <v>26</v>
      </c>
      <c r="E124" t="s">
        <v>27</v>
      </c>
      <c r="F124" t="s">
        <v>19</v>
      </c>
      <c r="G124">
        <v>4</v>
      </c>
      <c r="H124">
        <v>3</v>
      </c>
      <c r="I124">
        <v>1</v>
      </c>
      <c r="J124">
        <v>3.3</v>
      </c>
      <c r="K124" t="str" cm="1">
        <f t="array" ref="K12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125" spans="1:11" x14ac:dyDescent="0.35">
      <c r="A125" s="16" t="s">
        <v>61</v>
      </c>
      <c r="B125" t="s">
        <v>41</v>
      </c>
      <c r="C125" t="s">
        <v>44</v>
      </c>
      <c r="D125" t="s">
        <v>21</v>
      </c>
      <c r="E125" t="s">
        <v>30</v>
      </c>
      <c r="F125" t="s">
        <v>19</v>
      </c>
      <c r="G125">
        <v>4</v>
      </c>
      <c r="H125">
        <v>4</v>
      </c>
      <c r="I125">
        <v>0</v>
      </c>
      <c r="J125">
        <v>3.3</v>
      </c>
      <c r="K125" t="str" cm="1">
        <f t="array" ref="K12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126" spans="1:11" x14ac:dyDescent="0.35">
      <c r="A126" s="16" t="s">
        <v>45</v>
      </c>
      <c r="B126" t="s">
        <v>41</v>
      </c>
      <c r="C126" t="s">
        <v>42</v>
      </c>
      <c r="D126" t="s">
        <v>32</v>
      </c>
      <c r="E126" t="s">
        <v>22</v>
      </c>
      <c r="F126" t="s">
        <v>15</v>
      </c>
      <c r="G126">
        <v>3</v>
      </c>
      <c r="H126">
        <v>3</v>
      </c>
      <c r="I126">
        <v>0</v>
      </c>
      <c r="J126">
        <v>-0.5</v>
      </c>
      <c r="K126" t="str" cm="1">
        <f t="array" ref="K12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127" spans="1:11" x14ac:dyDescent="0.35">
      <c r="A127" s="16" t="s">
        <v>55</v>
      </c>
      <c r="B127" t="s">
        <v>28</v>
      </c>
      <c r="C127" t="s">
        <v>58</v>
      </c>
      <c r="D127" t="s">
        <v>13</v>
      </c>
      <c r="E127" t="s">
        <v>22</v>
      </c>
      <c r="F127" t="s">
        <v>19</v>
      </c>
      <c r="G127">
        <v>10</v>
      </c>
      <c r="H127">
        <v>9</v>
      </c>
      <c r="I127">
        <v>1</v>
      </c>
      <c r="J127">
        <v>2.1</v>
      </c>
      <c r="K127" t="str" cm="1">
        <f t="array" ref="K12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128" spans="1:11" x14ac:dyDescent="0.35">
      <c r="A128" s="16" t="s">
        <v>61</v>
      </c>
      <c r="B128" t="s">
        <v>34</v>
      </c>
      <c r="C128" t="s">
        <v>35</v>
      </c>
      <c r="D128" t="s">
        <v>40</v>
      </c>
      <c r="E128" t="s">
        <v>18</v>
      </c>
      <c r="F128" t="s">
        <v>15</v>
      </c>
      <c r="G128">
        <v>7</v>
      </c>
      <c r="H128">
        <v>6</v>
      </c>
      <c r="I128">
        <v>0</v>
      </c>
      <c r="J128">
        <v>4.2</v>
      </c>
      <c r="K128" t="str" cm="1">
        <f t="array" ref="K12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129" spans="1:11" x14ac:dyDescent="0.35">
      <c r="A129" s="16" t="s">
        <v>36</v>
      </c>
      <c r="B129" t="s">
        <v>46</v>
      </c>
      <c r="C129" t="s">
        <v>47</v>
      </c>
      <c r="D129" t="s">
        <v>22</v>
      </c>
      <c r="E129" t="s">
        <v>14</v>
      </c>
      <c r="F129" t="s">
        <v>19</v>
      </c>
      <c r="G129">
        <v>4</v>
      </c>
      <c r="H129">
        <v>4</v>
      </c>
      <c r="I129">
        <v>0</v>
      </c>
      <c r="J129">
        <v>2.2000000000000002</v>
      </c>
      <c r="K129" t="str" cm="1">
        <f t="array" ref="K12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130" spans="1:11" x14ac:dyDescent="0.35">
      <c r="A130" s="16" t="s">
        <v>33</v>
      </c>
      <c r="B130" t="s">
        <v>46</v>
      </c>
      <c r="C130" t="s">
        <v>47</v>
      </c>
      <c r="D130" t="s">
        <v>26</v>
      </c>
      <c r="E130" t="s">
        <v>53</v>
      </c>
      <c r="F130" t="s">
        <v>15</v>
      </c>
      <c r="G130">
        <v>6</v>
      </c>
      <c r="H130">
        <v>5</v>
      </c>
      <c r="I130">
        <v>0</v>
      </c>
      <c r="J130">
        <v>2.9</v>
      </c>
      <c r="K130" t="str" cm="1">
        <f t="array" ref="K13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31" spans="1:11" x14ac:dyDescent="0.35">
      <c r="A131" s="16" t="s">
        <v>23</v>
      </c>
      <c r="B131" t="s">
        <v>16</v>
      </c>
      <c r="C131" t="s">
        <v>60</v>
      </c>
      <c r="D131" t="s">
        <v>40</v>
      </c>
      <c r="E131" t="s">
        <v>53</v>
      </c>
      <c r="F131" t="s">
        <v>19</v>
      </c>
      <c r="G131">
        <v>5</v>
      </c>
      <c r="H131">
        <v>5</v>
      </c>
      <c r="I131">
        <v>0</v>
      </c>
      <c r="J131">
        <v>3.3</v>
      </c>
      <c r="K131" t="str" cm="1">
        <f t="array" ref="K13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32" spans="1:11" x14ac:dyDescent="0.35">
      <c r="A132" s="16" t="s">
        <v>43</v>
      </c>
      <c r="B132" t="s">
        <v>28</v>
      </c>
      <c r="C132" t="s">
        <v>29</v>
      </c>
      <c r="D132" t="s">
        <v>40</v>
      </c>
      <c r="E132" t="s">
        <v>22</v>
      </c>
      <c r="F132" t="s">
        <v>15</v>
      </c>
      <c r="G132">
        <v>4</v>
      </c>
      <c r="H132">
        <v>3</v>
      </c>
      <c r="I132">
        <v>1</v>
      </c>
      <c r="J132">
        <v>3.4</v>
      </c>
      <c r="K132" t="str" cm="1">
        <f t="array" ref="K13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133" spans="1:11" x14ac:dyDescent="0.35">
      <c r="A133" s="16" t="s">
        <v>10</v>
      </c>
      <c r="B133" t="s">
        <v>11</v>
      </c>
      <c r="C133" t="s">
        <v>12</v>
      </c>
      <c r="D133" t="s">
        <v>26</v>
      </c>
      <c r="E133" t="s">
        <v>30</v>
      </c>
      <c r="F133" t="s">
        <v>19</v>
      </c>
      <c r="G133">
        <v>1</v>
      </c>
      <c r="H133">
        <v>1</v>
      </c>
      <c r="I133">
        <v>0</v>
      </c>
      <c r="J133">
        <v>2.5</v>
      </c>
      <c r="K133" t="str" cm="1">
        <f t="array" ref="K13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34" spans="1:11" x14ac:dyDescent="0.35">
      <c r="A134" s="16" t="s">
        <v>45</v>
      </c>
      <c r="B134" t="s">
        <v>28</v>
      </c>
      <c r="C134" t="s">
        <v>58</v>
      </c>
      <c r="D134" t="s">
        <v>21</v>
      </c>
      <c r="E134" t="s">
        <v>14</v>
      </c>
      <c r="F134" t="s">
        <v>15</v>
      </c>
      <c r="G134">
        <v>7</v>
      </c>
      <c r="H134">
        <v>6</v>
      </c>
      <c r="I134">
        <v>0</v>
      </c>
      <c r="J134">
        <v>4.0999999999999996</v>
      </c>
      <c r="K134" t="str" cm="1">
        <f t="array" ref="K13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135" spans="1:11" x14ac:dyDescent="0.35">
      <c r="A135" s="16" t="s">
        <v>23</v>
      </c>
      <c r="B135" t="s">
        <v>37</v>
      </c>
      <c r="C135" t="s">
        <v>38</v>
      </c>
      <c r="D135" t="s">
        <v>13</v>
      </c>
      <c r="E135" t="s">
        <v>30</v>
      </c>
      <c r="F135" t="s">
        <v>19</v>
      </c>
      <c r="G135">
        <v>5</v>
      </c>
      <c r="H135">
        <v>4</v>
      </c>
      <c r="I135">
        <v>0</v>
      </c>
      <c r="J135">
        <v>4.3</v>
      </c>
      <c r="K135" t="str" cm="1">
        <f t="array" ref="K13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36" spans="1:11" x14ac:dyDescent="0.35">
      <c r="A136" s="16" t="s">
        <v>61</v>
      </c>
      <c r="B136" t="s">
        <v>34</v>
      </c>
      <c r="C136" t="s">
        <v>51</v>
      </c>
      <c r="D136" t="s">
        <v>13</v>
      </c>
      <c r="E136" t="s">
        <v>27</v>
      </c>
      <c r="F136" t="s">
        <v>19</v>
      </c>
      <c r="G136">
        <v>5</v>
      </c>
      <c r="H136">
        <v>5</v>
      </c>
      <c r="I136">
        <v>0</v>
      </c>
      <c r="J136">
        <v>4</v>
      </c>
      <c r="K136" t="str" cm="1">
        <f t="array" ref="K13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137" spans="1:11" x14ac:dyDescent="0.35">
      <c r="A137" s="16" t="s">
        <v>59</v>
      </c>
      <c r="B137" t="s">
        <v>34</v>
      </c>
      <c r="C137" t="s">
        <v>35</v>
      </c>
      <c r="D137" t="s">
        <v>32</v>
      </c>
      <c r="E137" t="s">
        <v>27</v>
      </c>
      <c r="F137" t="s">
        <v>19</v>
      </c>
      <c r="G137">
        <v>9</v>
      </c>
      <c r="H137">
        <v>9</v>
      </c>
      <c r="I137">
        <v>1</v>
      </c>
      <c r="J137">
        <v>2.7</v>
      </c>
      <c r="K137" t="str" cm="1">
        <f t="array" ref="K13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138" spans="1:11" x14ac:dyDescent="0.35">
      <c r="A138" s="16" t="s">
        <v>55</v>
      </c>
      <c r="B138" t="s">
        <v>37</v>
      </c>
      <c r="C138" t="s">
        <v>38</v>
      </c>
      <c r="D138" t="s">
        <v>26</v>
      </c>
      <c r="E138" t="s">
        <v>18</v>
      </c>
      <c r="F138" t="s">
        <v>19</v>
      </c>
      <c r="G138">
        <v>4</v>
      </c>
      <c r="H138">
        <v>3</v>
      </c>
      <c r="I138">
        <v>0</v>
      </c>
      <c r="J138">
        <v>3</v>
      </c>
      <c r="K138" t="str" cm="1">
        <f t="array" ref="K13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139" spans="1:11" x14ac:dyDescent="0.35">
      <c r="A139" s="16" t="s">
        <v>55</v>
      </c>
      <c r="B139" t="s">
        <v>24</v>
      </c>
      <c r="C139" t="s">
        <v>25</v>
      </c>
      <c r="D139" t="s">
        <v>26</v>
      </c>
      <c r="E139" t="s">
        <v>53</v>
      </c>
      <c r="F139" t="s">
        <v>19</v>
      </c>
      <c r="G139">
        <v>4</v>
      </c>
      <c r="H139">
        <v>4</v>
      </c>
      <c r="I139">
        <v>0</v>
      </c>
      <c r="J139">
        <v>1.6</v>
      </c>
      <c r="K139" t="str" cm="1">
        <f t="array" ref="K13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140" spans="1:11" x14ac:dyDescent="0.35">
      <c r="A140" s="16" t="s">
        <v>23</v>
      </c>
      <c r="B140" t="s">
        <v>28</v>
      </c>
      <c r="C140" t="s">
        <v>29</v>
      </c>
      <c r="D140" t="s">
        <v>22</v>
      </c>
      <c r="E140" t="s">
        <v>53</v>
      </c>
      <c r="F140" t="s">
        <v>15</v>
      </c>
      <c r="G140">
        <v>4</v>
      </c>
      <c r="H140">
        <v>3</v>
      </c>
      <c r="I140">
        <v>1</v>
      </c>
      <c r="J140">
        <v>2</v>
      </c>
      <c r="K140" t="str" cm="1">
        <f t="array" ref="K14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41" spans="1:11" x14ac:dyDescent="0.35">
      <c r="A141" s="16" t="s">
        <v>33</v>
      </c>
      <c r="B141" t="s">
        <v>28</v>
      </c>
      <c r="C141" t="s">
        <v>58</v>
      </c>
      <c r="D141" t="s">
        <v>40</v>
      </c>
      <c r="E141" t="s">
        <v>27</v>
      </c>
      <c r="F141" t="s">
        <v>19</v>
      </c>
      <c r="G141">
        <v>6</v>
      </c>
      <c r="H141">
        <v>6</v>
      </c>
      <c r="I141">
        <v>0</v>
      </c>
      <c r="J141">
        <v>3</v>
      </c>
      <c r="K141" t="str" cm="1">
        <f t="array" ref="K14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42" spans="1:11" x14ac:dyDescent="0.35">
      <c r="A142" s="16" t="s">
        <v>45</v>
      </c>
      <c r="B142" t="s">
        <v>28</v>
      </c>
      <c r="C142" t="s">
        <v>58</v>
      </c>
      <c r="D142" t="s">
        <v>26</v>
      </c>
      <c r="E142" t="s">
        <v>14</v>
      </c>
      <c r="F142" t="s">
        <v>19</v>
      </c>
      <c r="G142">
        <v>3</v>
      </c>
      <c r="H142">
        <v>3</v>
      </c>
      <c r="I142">
        <v>0</v>
      </c>
      <c r="J142">
        <v>3.2</v>
      </c>
      <c r="K142" t="str" cm="1">
        <f t="array" ref="K14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143" spans="1:11" x14ac:dyDescent="0.35">
      <c r="A143" s="16" t="s">
        <v>55</v>
      </c>
      <c r="B143" t="s">
        <v>28</v>
      </c>
      <c r="C143" t="s">
        <v>58</v>
      </c>
      <c r="D143" t="s">
        <v>21</v>
      </c>
      <c r="E143" t="s">
        <v>18</v>
      </c>
      <c r="F143" t="s">
        <v>15</v>
      </c>
      <c r="G143">
        <v>4</v>
      </c>
      <c r="H143">
        <v>4</v>
      </c>
      <c r="I143">
        <v>0</v>
      </c>
      <c r="J143">
        <v>1.9</v>
      </c>
      <c r="K143" t="str" cm="1">
        <f t="array" ref="K14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144" spans="1:11" x14ac:dyDescent="0.35">
      <c r="A144" s="16" t="s">
        <v>61</v>
      </c>
      <c r="B144" t="s">
        <v>37</v>
      </c>
      <c r="C144" t="s">
        <v>39</v>
      </c>
      <c r="D144" t="s">
        <v>13</v>
      </c>
      <c r="E144" t="s">
        <v>14</v>
      </c>
      <c r="F144" t="s">
        <v>15</v>
      </c>
      <c r="G144">
        <v>2</v>
      </c>
      <c r="H144">
        <v>2</v>
      </c>
      <c r="I144">
        <v>0</v>
      </c>
      <c r="J144">
        <v>3.4</v>
      </c>
      <c r="K144" t="str" cm="1">
        <f t="array" ref="K14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145" spans="1:11" x14ac:dyDescent="0.35">
      <c r="A145" s="16" t="s">
        <v>50</v>
      </c>
      <c r="B145" t="s">
        <v>48</v>
      </c>
      <c r="C145" t="s">
        <v>63</v>
      </c>
      <c r="D145" t="s">
        <v>22</v>
      </c>
      <c r="E145" t="s">
        <v>53</v>
      </c>
      <c r="F145" t="s">
        <v>19</v>
      </c>
      <c r="G145">
        <v>7</v>
      </c>
      <c r="H145">
        <v>6</v>
      </c>
      <c r="I145">
        <v>0</v>
      </c>
      <c r="J145">
        <v>3.7</v>
      </c>
      <c r="K145" t="str" cm="1">
        <f t="array" ref="K14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146" spans="1:11" x14ac:dyDescent="0.35">
      <c r="A146" s="16" t="s">
        <v>36</v>
      </c>
      <c r="B146" t="s">
        <v>24</v>
      </c>
      <c r="C146" t="s">
        <v>64</v>
      </c>
      <c r="D146" t="s">
        <v>21</v>
      </c>
      <c r="E146" t="s">
        <v>18</v>
      </c>
      <c r="F146" t="s">
        <v>19</v>
      </c>
      <c r="G146">
        <v>2</v>
      </c>
      <c r="H146">
        <v>2</v>
      </c>
      <c r="I146">
        <v>0</v>
      </c>
      <c r="J146">
        <v>2.7</v>
      </c>
      <c r="K146" t="str" cm="1">
        <f t="array" ref="K14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147" spans="1:11" x14ac:dyDescent="0.35">
      <c r="A147" s="16" t="s">
        <v>23</v>
      </c>
      <c r="B147" t="s">
        <v>46</v>
      </c>
      <c r="C147" t="s">
        <v>47</v>
      </c>
      <c r="D147" t="s">
        <v>21</v>
      </c>
      <c r="E147" t="s">
        <v>30</v>
      </c>
      <c r="F147" t="s">
        <v>19</v>
      </c>
      <c r="G147">
        <v>7</v>
      </c>
      <c r="H147">
        <v>7</v>
      </c>
      <c r="I147">
        <v>3</v>
      </c>
      <c r="J147">
        <v>3.4</v>
      </c>
      <c r="K147" t="str" cm="1">
        <f t="array" ref="K14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48" spans="1:11" x14ac:dyDescent="0.35">
      <c r="A148" s="16" t="s">
        <v>31</v>
      </c>
      <c r="B148" t="s">
        <v>24</v>
      </c>
      <c r="C148" t="s">
        <v>25</v>
      </c>
      <c r="D148" t="s">
        <v>40</v>
      </c>
      <c r="E148" t="s">
        <v>14</v>
      </c>
      <c r="F148" t="s">
        <v>15</v>
      </c>
      <c r="G148">
        <v>4</v>
      </c>
      <c r="H148">
        <v>4</v>
      </c>
      <c r="I148">
        <v>0</v>
      </c>
      <c r="J148">
        <v>4.0999999999999996</v>
      </c>
      <c r="K148" t="str" cm="1">
        <f t="array" ref="K14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149" spans="1:11" x14ac:dyDescent="0.35">
      <c r="A149" s="16" t="s">
        <v>33</v>
      </c>
      <c r="B149" t="s">
        <v>37</v>
      </c>
      <c r="C149" t="s">
        <v>38</v>
      </c>
      <c r="D149" t="s">
        <v>40</v>
      </c>
      <c r="E149" t="s">
        <v>22</v>
      </c>
      <c r="F149" t="s">
        <v>15</v>
      </c>
      <c r="G149">
        <v>6</v>
      </c>
      <c r="H149">
        <v>5</v>
      </c>
      <c r="I149">
        <v>0</v>
      </c>
      <c r="J149">
        <v>2.9</v>
      </c>
      <c r="K149" t="str" cm="1">
        <f t="array" ref="K14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50" spans="1:11" x14ac:dyDescent="0.35">
      <c r="A150" s="16" t="s">
        <v>45</v>
      </c>
      <c r="B150" t="s">
        <v>41</v>
      </c>
      <c r="C150" t="s">
        <v>42</v>
      </c>
      <c r="D150" t="s">
        <v>13</v>
      </c>
      <c r="E150" t="s">
        <v>30</v>
      </c>
      <c r="F150" t="s">
        <v>15</v>
      </c>
      <c r="G150">
        <v>9</v>
      </c>
      <c r="H150">
        <v>8</v>
      </c>
      <c r="I150">
        <v>1</v>
      </c>
      <c r="J150">
        <v>2.4</v>
      </c>
      <c r="K150" t="str" cm="1">
        <f t="array" ref="K15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151" spans="1:11" x14ac:dyDescent="0.35">
      <c r="A151" s="16" t="s">
        <v>61</v>
      </c>
      <c r="B151" t="s">
        <v>56</v>
      </c>
      <c r="C151" t="s">
        <v>57</v>
      </c>
      <c r="D151" t="s">
        <v>13</v>
      </c>
      <c r="E151" t="s">
        <v>14</v>
      </c>
      <c r="F151" t="s">
        <v>15</v>
      </c>
      <c r="G151">
        <v>5</v>
      </c>
      <c r="H151">
        <v>4</v>
      </c>
      <c r="I151">
        <v>0</v>
      </c>
      <c r="J151">
        <v>3.4</v>
      </c>
      <c r="K151" t="str" cm="1">
        <f t="array" ref="K15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152" spans="1:11" x14ac:dyDescent="0.35">
      <c r="A152" s="16" t="s">
        <v>23</v>
      </c>
      <c r="B152" t="s">
        <v>37</v>
      </c>
      <c r="C152" t="s">
        <v>39</v>
      </c>
      <c r="D152" t="s">
        <v>13</v>
      </c>
      <c r="E152" t="s">
        <v>18</v>
      </c>
      <c r="F152" t="s">
        <v>19</v>
      </c>
      <c r="G152">
        <v>6</v>
      </c>
      <c r="H152">
        <v>6</v>
      </c>
      <c r="I152">
        <v>2</v>
      </c>
      <c r="J152">
        <v>3.8</v>
      </c>
      <c r="K152" t="str" cm="1">
        <f t="array" ref="K15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53" spans="1:11" x14ac:dyDescent="0.35">
      <c r="A153" s="16" t="s">
        <v>61</v>
      </c>
      <c r="B153" t="s">
        <v>56</v>
      </c>
      <c r="C153" t="s">
        <v>57</v>
      </c>
      <c r="D153" t="s">
        <v>13</v>
      </c>
      <c r="E153" t="s">
        <v>53</v>
      </c>
      <c r="F153" t="s">
        <v>19</v>
      </c>
      <c r="G153">
        <v>5</v>
      </c>
      <c r="H153">
        <v>5</v>
      </c>
      <c r="I153">
        <v>0</v>
      </c>
      <c r="J153">
        <v>1.8</v>
      </c>
      <c r="K153" t="str" cm="1">
        <f t="array" ref="K15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154" spans="1:11" x14ac:dyDescent="0.35">
      <c r="A154" s="16" t="s">
        <v>33</v>
      </c>
      <c r="B154" t="s">
        <v>16</v>
      </c>
      <c r="C154" t="s">
        <v>60</v>
      </c>
      <c r="D154" t="s">
        <v>32</v>
      </c>
      <c r="E154" t="s">
        <v>14</v>
      </c>
      <c r="F154" t="s">
        <v>19</v>
      </c>
      <c r="G154">
        <v>7</v>
      </c>
      <c r="H154">
        <v>7</v>
      </c>
      <c r="I154">
        <v>0</v>
      </c>
      <c r="J154">
        <v>3.8</v>
      </c>
      <c r="K154" t="str" cm="1">
        <f t="array" ref="K15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55" spans="1:11" x14ac:dyDescent="0.35">
      <c r="A155" s="16" t="s">
        <v>45</v>
      </c>
      <c r="B155" t="s">
        <v>48</v>
      </c>
      <c r="C155" t="s">
        <v>63</v>
      </c>
      <c r="D155" t="s">
        <v>32</v>
      </c>
      <c r="E155" t="s">
        <v>30</v>
      </c>
      <c r="F155" t="s">
        <v>19</v>
      </c>
      <c r="G155">
        <v>6</v>
      </c>
      <c r="H155">
        <v>6</v>
      </c>
      <c r="I155">
        <v>0</v>
      </c>
      <c r="J155">
        <v>4.2</v>
      </c>
      <c r="K155" t="str" cm="1">
        <f t="array" ref="K15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156" spans="1:11" x14ac:dyDescent="0.35">
      <c r="A156" s="16" t="s">
        <v>31</v>
      </c>
      <c r="B156" t="s">
        <v>11</v>
      </c>
      <c r="C156" t="s">
        <v>12</v>
      </c>
      <c r="D156" t="s">
        <v>40</v>
      </c>
      <c r="E156" t="s">
        <v>18</v>
      </c>
      <c r="F156" t="s">
        <v>15</v>
      </c>
      <c r="G156">
        <v>3</v>
      </c>
      <c r="H156">
        <v>3</v>
      </c>
      <c r="I156">
        <v>1</v>
      </c>
      <c r="J156">
        <v>3.1</v>
      </c>
      <c r="K156" t="str" cm="1">
        <f t="array" ref="K15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157" spans="1:11" x14ac:dyDescent="0.35">
      <c r="A157" s="16" t="s">
        <v>36</v>
      </c>
      <c r="B157" t="s">
        <v>46</v>
      </c>
      <c r="C157" t="s">
        <v>54</v>
      </c>
      <c r="D157" t="s">
        <v>22</v>
      </c>
      <c r="E157" t="s">
        <v>27</v>
      </c>
      <c r="F157" t="s">
        <v>19</v>
      </c>
      <c r="G157">
        <v>1</v>
      </c>
      <c r="H157">
        <v>0</v>
      </c>
      <c r="I157">
        <v>1</v>
      </c>
      <c r="J157">
        <v>1</v>
      </c>
      <c r="K157" t="str" cm="1">
        <f t="array" ref="K15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158" spans="1:11" x14ac:dyDescent="0.35">
      <c r="A158" s="16" t="s">
        <v>45</v>
      </c>
      <c r="B158" t="s">
        <v>28</v>
      </c>
      <c r="C158" t="s">
        <v>58</v>
      </c>
      <c r="D158" t="s">
        <v>32</v>
      </c>
      <c r="E158" t="s">
        <v>53</v>
      </c>
      <c r="F158" t="s">
        <v>19</v>
      </c>
      <c r="G158">
        <v>0</v>
      </c>
      <c r="H158">
        <v>0</v>
      </c>
      <c r="I158">
        <v>0</v>
      </c>
      <c r="J158">
        <v>2.9</v>
      </c>
      <c r="K158" t="str" cm="1">
        <f t="array" ref="K15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159" spans="1:11" x14ac:dyDescent="0.35">
      <c r="A159" s="16" t="s">
        <v>33</v>
      </c>
      <c r="B159" t="s">
        <v>11</v>
      </c>
      <c r="C159" t="s">
        <v>52</v>
      </c>
      <c r="D159" t="s">
        <v>40</v>
      </c>
      <c r="E159" t="s">
        <v>22</v>
      </c>
      <c r="F159" t="s">
        <v>19</v>
      </c>
      <c r="G159">
        <v>4</v>
      </c>
      <c r="H159">
        <v>4</v>
      </c>
      <c r="I159">
        <v>0</v>
      </c>
      <c r="J159">
        <v>4.0999999999999996</v>
      </c>
      <c r="K159" t="str" cm="1">
        <f t="array" ref="K15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60" spans="1:11" x14ac:dyDescent="0.35">
      <c r="A160" s="16" t="s">
        <v>10</v>
      </c>
      <c r="B160" t="s">
        <v>46</v>
      </c>
      <c r="C160" t="s">
        <v>47</v>
      </c>
      <c r="D160" t="s">
        <v>22</v>
      </c>
      <c r="E160" t="s">
        <v>30</v>
      </c>
      <c r="F160" t="s">
        <v>19</v>
      </c>
      <c r="G160">
        <v>5</v>
      </c>
      <c r="H160">
        <v>4</v>
      </c>
      <c r="I160">
        <v>0</v>
      </c>
      <c r="J160">
        <v>3.9</v>
      </c>
      <c r="K160" t="str" cm="1">
        <f t="array" ref="K16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61" spans="1:11" x14ac:dyDescent="0.35">
      <c r="A161" s="16" t="s">
        <v>31</v>
      </c>
      <c r="B161" t="s">
        <v>28</v>
      </c>
      <c r="C161" t="s">
        <v>29</v>
      </c>
      <c r="D161" t="s">
        <v>22</v>
      </c>
      <c r="E161" t="s">
        <v>27</v>
      </c>
      <c r="F161" t="s">
        <v>19</v>
      </c>
      <c r="G161">
        <v>6</v>
      </c>
      <c r="H161">
        <v>4</v>
      </c>
      <c r="I161">
        <v>0</v>
      </c>
      <c r="J161">
        <v>3.5</v>
      </c>
      <c r="K161" t="str" cm="1">
        <f t="array" ref="K16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162" spans="1:11" x14ac:dyDescent="0.35">
      <c r="A162" s="16" t="s">
        <v>23</v>
      </c>
      <c r="B162" t="s">
        <v>41</v>
      </c>
      <c r="C162" t="s">
        <v>44</v>
      </c>
      <c r="D162" t="s">
        <v>21</v>
      </c>
      <c r="E162" t="s">
        <v>18</v>
      </c>
      <c r="F162" t="s">
        <v>19</v>
      </c>
      <c r="G162">
        <v>5</v>
      </c>
      <c r="H162">
        <v>4</v>
      </c>
      <c r="I162">
        <v>3</v>
      </c>
      <c r="J162">
        <v>4</v>
      </c>
      <c r="K162" t="str" cm="1">
        <f t="array" ref="K16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63" spans="1:11" x14ac:dyDescent="0.35">
      <c r="A163" s="16" t="s">
        <v>59</v>
      </c>
      <c r="B163" t="s">
        <v>46</v>
      </c>
      <c r="C163" t="s">
        <v>47</v>
      </c>
      <c r="D163" t="s">
        <v>22</v>
      </c>
      <c r="E163" t="s">
        <v>27</v>
      </c>
      <c r="F163" t="s">
        <v>15</v>
      </c>
      <c r="G163">
        <v>10</v>
      </c>
      <c r="H163">
        <v>8</v>
      </c>
      <c r="I163">
        <v>0</v>
      </c>
      <c r="J163">
        <v>2.7</v>
      </c>
      <c r="K163" t="str" cm="1">
        <f t="array" ref="K16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164" spans="1:11" x14ac:dyDescent="0.35">
      <c r="A164" s="16" t="s">
        <v>23</v>
      </c>
      <c r="B164" t="s">
        <v>34</v>
      </c>
      <c r="C164" t="s">
        <v>35</v>
      </c>
      <c r="D164" t="s">
        <v>22</v>
      </c>
      <c r="E164" t="s">
        <v>27</v>
      </c>
      <c r="F164" t="s">
        <v>19</v>
      </c>
      <c r="G164">
        <v>1</v>
      </c>
      <c r="H164">
        <v>1</v>
      </c>
      <c r="I164">
        <v>0</v>
      </c>
      <c r="J164">
        <v>4.5999999999999996</v>
      </c>
      <c r="K164" t="str" cm="1">
        <f t="array" ref="K16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65" spans="1:11" x14ac:dyDescent="0.35">
      <c r="A165" s="16" t="s">
        <v>20</v>
      </c>
      <c r="B165" t="s">
        <v>16</v>
      </c>
      <c r="C165" t="s">
        <v>17</v>
      </c>
      <c r="D165" t="s">
        <v>32</v>
      </c>
      <c r="E165" t="s">
        <v>22</v>
      </c>
      <c r="F165" t="s">
        <v>19</v>
      </c>
      <c r="G165">
        <v>4</v>
      </c>
      <c r="H165">
        <v>4</v>
      </c>
      <c r="I165">
        <v>0</v>
      </c>
      <c r="J165">
        <v>2.2000000000000002</v>
      </c>
      <c r="K165" t="str" cm="1">
        <f t="array" ref="K16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166" spans="1:11" x14ac:dyDescent="0.35">
      <c r="A166" s="16" t="s">
        <v>31</v>
      </c>
      <c r="B166" t="s">
        <v>56</v>
      </c>
      <c r="C166" t="s">
        <v>57</v>
      </c>
      <c r="D166" t="s">
        <v>26</v>
      </c>
      <c r="E166" t="s">
        <v>14</v>
      </c>
      <c r="F166" t="s">
        <v>19</v>
      </c>
      <c r="G166">
        <v>7</v>
      </c>
      <c r="H166">
        <v>7</v>
      </c>
      <c r="I166">
        <v>0</v>
      </c>
      <c r="J166">
        <v>4.4000000000000004</v>
      </c>
      <c r="K166" t="str" cm="1">
        <f t="array" ref="K16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167" spans="1:11" x14ac:dyDescent="0.35">
      <c r="A167" s="16" t="s">
        <v>50</v>
      </c>
      <c r="B167" t="s">
        <v>28</v>
      </c>
      <c r="C167" t="s">
        <v>29</v>
      </c>
      <c r="D167" t="s">
        <v>26</v>
      </c>
      <c r="E167" t="s">
        <v>30</v>
      </c>
      <c r="F167" t="s">
        <v>19</v>
      </c>
      <c r="G167">
        <v>6</v>
      </c>
      <c r="H167">
        <v>6</v>
      </c>
      <c r="I167">
        <v>0</v>
      </c>
      <c r="J167">
        <v>1.2</v>
      </c>
      <c r="K167" t="str" cm="1">
        <f t="array" ref="K16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168" spans="1:11" x14ac:dyDescent="0.35">
      <c r="A168" s="16" t="s">
        <v>43</v>
      </c>
      <c r="B168" t="s">
        <v>37</v>
      </c>
      <c r="C168" t="s">
        <v>38</v>
      </c>
      <c r="D168" t="s">
        <v>26</v>
      </c>
      <c r="E168" t="s">
        <v>14</v>
      </c>
      <c r="F168" t="s">
        <v>19</v>
      </c>
      <c r="G168">
        <v>6</v>
      </c>
      <c r="H168">
        <v>6</v>
      </c>
      <c r="I168">
        <v>0</v>
      </c>
      <c r="J168">
        <v>2.1</v>
      </c>
      <c r="K168" t="str" cm="1">
        <f t="array" ref="K16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169" spans="1:11" x14ac:dyDescent="0.35">
      <c r="A169" s="16" t="s">
        <v>55</v>
      </c>
      <c r="B169" t="s">
        <v>41</v>
      </c>
      <c r="C169" t="s">
        <v>42</v>
      </c>
      <c r="D169" t="s">
        <v>22</v>
      </c>
      <c r="E169" t="s">
        <v>14</v>
      </c>
      <c r="F169" t="s">
        <v>19</v>
      </c>
      <c r="G169">
        <v>6</v>
      </c>
      <c r="H169">
        <v>6</v>
      </c>
      <c r="I169">
        <v>0</v>
      </c>
      <c r="J169">
        <v>2</v>
      </c>
      <c r="K169" t="str" cm="1">
        <f t="array" ref="K16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170" spans="1:11" x14ac:dyDescent="0.35">
      <c r="A170" s="16" t="s">
        <v>50</v>
      </c>
      <c r="B170" t="s">
        <v>28</v>
      </c>
      <c r="C170" t="s">
        <v>29</v>
      </c>
      <c r="D170" t="s">
        <v>40</v>
      </c>
      <c r="E170" t="s">
        <v>18</v>
      </c>
      <c r="F170" t="s">
        <v>15</v>
      </c>
      <c r="G170">
        <v>5</v>
      </c>
      <c r="H170">
        <v>5</v>
      </c>
      <c r="I170">
        <v>0</v>
      </c>
      <c r="J170">
        <v>3</v>
      </c>
      <c r="K170" t="str" cm="1">
        <f t="array" ref="K17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171" spans="1:11" x14ac:dyDescent="0.35">
      <c r="A171" s="16" t="s">
        <v>36</v>
      </c>
      <c r="B171" t="s">
        <v>28</v>
      </c>
      <c r="C171" t="s">
        <v>58</v>
      </c>
      <c r="D171" t="s">
        <v>40</v>
      </c>
      <c r="E171" t="s">
        <v>53</v>
      </c>
      <c r="F171" t="s">
        <v>15</v>
      </c>
      <c r="G171">
        <v>6</v>
      </c>
      <c r="H171">
        <v>5</v>
      </c>
      <c r="I171">
        <v>0</v>
      </c>
      <c r="J171">
        <v>3.6</v>
      </c>
      <c r="K171" t="str" cm="1">
        <f t="array" ref="K17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172" spans="1:11" x14ac:dyDescent="0.35">
      <c r="A172" s="16" t="s">
        <v>33</v>
      </c>
      <c r="B172" t="s">
        <v>41</v>
      </c>
      <c r="C172" t="s">
        <v>42</v>
      </c>
      <c r="D172" t="s">
        <v>40</v>
      </c>
      <c r="E172" t="s">
        <v>22</v>
      </c>
      <c r="F172" t="s">
        <v>15</v>
      </c>
      <c r="G172">
        <v>6</v>
      </c>
      <c r="H172">
        <v>5</v>
      </c>
      <c r="I172">
        <v>0</v>
      </c>
      <c r="J172">
        <v>2.7</v>
      </c>
      <c r="K172" t="str" cm="1">
        <f t="array" ref="K17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73" spans="1:11" x14ac:dyDescent="0.35">
      <c r="A173" s="16" t="s">
        <v>10</v>
      </c>
      <c r="B173" t="s">
        <v>48</v>
      </c>
      <c r="C173" t="s">
        <v>63</v>
      </c>
      <c r="D173" t="s">
        <v>13</v>
      </c>
      <c r="E173" t="s">
        <v>22</v>
      </c>
      <c r="F173" t="s">
        <v>19</v>
      </c>
      <c r="G173">
        <v>5</v>
      </c>
      <c r="H173">
        <v>4</v>
      </c>
      <c r="I173">
        <v>1</v>
      </c>
      <c r="J173">
        <v>4.2</v>
      </c>
      <c r="K173" t="str" cm="1">
        <f t="array" ref="K17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74" spans="1:11" x14ac:dyDescent="0.35">
      <c r="A174" s="16" t="s">
        <v>10</v>
      </c>
      <c r="B174" t="s">
        <v>37</v>
      </c>
      <c r="C174" t="s">
        <v>39</v>
      </c>
      <c r="D174" t="s">
        <v>26</v>
      </c>
      <c r="E174" t="s">
        <v>14</v>
      </c>
      <c r="F174" t="s">
        <v>15</v>
      </c>
      <c r="G174">
        <v>2</v>
      </c>
      <c r="H174">
        <v>2</v>
      </c>
      <c r="I174">
        <v>0</v>
      </c>
      <c r="J174">
        <v>1.5</v>
      </c>
      <c r="K174" t="str" cm="1">
        <f t="array" ref="K17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75" spans="1:11" x14ac:dyDescent="0.35">
      <c r="A175" s="16" t="s">
        <v>10</v>
      </c>
      <c r="B175" t="s">
        <v>34</v>
      </c>
      <c r="C175" t="s">
        <v>51</v>
      </c>
      <c r="D175" t="s">
        <v>21</v>
      </c>
      <c r="E175" t="s">
        <v>14</v>
      </c>
      <c r="F175" t="s">
        <v>15</v>
      </c>
      <c r="G175">
        <v>6</v>
      </c>
      <c r="H175">
        <v>6</v>
      </c>
      <c r="I175">
        <v>0</v>
      </c>
      <c r="J175">
        <v>3.3</v>
      </c>
      <c r="K175" t="str" cm="1">
        <f t="array" ref="K17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76" spans="1:11" x14ac:dyDescent="0.35">
      <c r="A176" s="16" t="s">
        <v>33</v>
      </c>
      <c r="B176" t="s">
        <v>34</v>
      </c>
      <c r="C176" t="s">
        <v>51</v>
      </c>
      <c r="D176" t="s">
        <v>22</v>
      </c>
      <c r="E176" t="s">
        <v>18</v>
      </c>
      <c r="F176" t="s">
        <v>15</v>
      </c>
      <c r="G176">
        <v>4</v>
      </c>
      <c r="H176">
        <v>4</v>
      </c>
      <c r="I176">
        <v>0</v>
      </c>
      <c r="J176">
        <v>1.9</v>
      </c>
      <c r="K176" t="str" cm="1">
        <f t="array" ref="K17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77" spans="1:11" x14ac:dyDescent="0.35">
      <c r="A177" s="16" t="s">
        <v>23</v>
      </c>
      <c r="B177" t="s">
        <v>11</v>
      </c>
      <c r="C177" t="s">
        <v>52</v>
      </c>
      <c r="D177" t="s">
        <v>32</v>
      </c>
      <c r="E177" t="s">
        <v>53</v>
      </c>
      <c r="F177" t="s">
        <v>19</v>
      </c>
      <c r="G177">
        <v>3</v>
      </c>
      <c r="H177">
        <v>2</v>
      </c>
      <c r="I177">
        <v>0</v>
      </c>
      <c r="J177">
        <v>2.2999999999999998</v>
      </c>
      <c r="K177" t="str" cm="1">
        <f t="array" ref="K17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78" spans="1:11" x14ac:dyDescent="0.35">
      <c r="A178" s="16" t="s">
        <v>33</v>
      </c>
      <c r="B178" t="s">
        <v>41</v>
      </c>
      <c r="C178" t="s">
        <v>44</v>
      </c>
      <c r="D178" t="s">
        <v>40</v>
      </c>
      <c r="E178" t="s">
        <v>30</v>
      </c>
      <c r="F178" t="s">
        <v>15</v>
      </c>
      <c r="G178">
        <v>9</v>
      </c>
      <c r="H178">
        <v>8</v>
      </c>
      <c r="I178">
        <v>0</v>
      </c>
      <c r="J178">
        <v>3.1</v>
      </c>
      <c r="K178" t="str" cm="1">
        <f t="array" ref="K17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79" spans="1:11" x14ac:dyDescent="0.35">
      <c r="A179" s="16" t="s">
        <v>33</v>
      </c>
      <c r="B179" t="s">
        <v>41</v>
      </c>
      <c r="C179" t="s">
        <v>42</v>
      </c>
      <c r="D179" t="s">
        <v>21</v>
      </c>
      <c r="E179" t="s">
        <v>18</v>
      </c>
      <c r="F179" t="s">
        <v>19</v>
      </c>
      <c r="G179">
        <v>5</v>
      </c>
      <c r="H179">
        <v>5</v>
      </c>
      <c r="I179">
        <v>0</v>
      </c>
      <c r="J179">
        <v>2.2999999999999998</v>
      </c>
      <c r="K179" t="str" cm="1">
        <f t="array" ref="K17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80" spans="1:11" x14ac:dyDescent="0.35">
      <c r="A180" s="16" t="s">
        <v>10</v>
      </c>
      <c r="B180" t="s">
        <v>46</v>
      </c>
      <c r="C180" t="s">
        <v>54</v>
      </c>
      <c r="D180" t="s">
        <v>13</v>
      </c>
      <c r="E180" t="s">
        <v>22</v>
      </c>
      <c r="F180" t="s">
        <v>19</v>
      </c>
      <c r="G180">
        <v>6</v>
      </c>
      <c r="H180">
        <v>3</v>
      </c>
      <c r="I180">
        <v>1</v>
      </c>
      <c r="J180">
        <v>4.2</v>
      </c>
      <c r="K180" t="str" cm="1">
        <f t="array" ref="K18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81" spans="1:11" x14ac:dyDescent="0.35">
      <c r="A181" s="16" t="s">
        <v>23</v>
      </c>
      <c r="B181" t="s">
        <v>48</v>
      </c>
      <c r="C181" t="s">
        <v>63</v>
      </c>
      <c r="D181" t="s">
        <v>13</v>
      </c>
      <c r="E181" t="s">
        <v>53</v>
      </c>
      <c r="F181" t="s">
        <v>19</v>
      </c>
      <c r="G181">
        <v>4</v>
      </c>
      <c r="H181">
        <v>3</v>
      </c>
      <c r="I181">
        <v>0</v>
      </c>
      <c r="J181">
        <v>3.1</v>
      </c>
      <c r="K181" t="str" cm="1">
        <f t="array" ref="K18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182" spans="1:11" x14ac:dyDescent="0.35">
      <c r="A182" s="16" t="s">
        <v>20</v>
      </c>
      <c r="B182" t="s">
        <v>41</v>
      </c>
      <c r="C182" t="s">
        <v>42</v>
      </c>
      <c r="D182" t="s">
        <v>13</v>
      </c>
      <c r="E182" t="s">
        <v>30</v>
      </c>
      <c r="F182" t="s">
        <v>15</v>
      </c>
      <c r="G182">
        <v>3</v>
      </c>
      <c r="H182">
        <v>3</v>
      </c>
      <c r="I182">
        <v>0</v>
      </c>
      <c r="J182">
        <v>3.1</v>
      </c>
      <c r="K182" t="str" cm="1">
        <f t="array" ref="K18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183" spans="1:11" x14ac:dyDescent="0.35">
      <c r="A183" s="16" t="s">
        <v>33</v>
      </c>
      <c r="B183" t="s">
        <v>24</v>
      </c>
      <c r="C183" t="s">
        <v>25</v>
      </c>
      <c r="D183" t="s">
        <v>22</v>
      </c>
      <c r="E183" t="s">
        <v>30</v>
      </c>
      <c r="F183" t="s">
        <v>15</v>
      </c>
      <c r="G183">
        <v>8</v>
      </c>
      <c r="H183">
        <v>8</v>
      </c>
      <c r="I183">
        <v>1</v>
      </c>
      <c r="J183">
        <v>3.7</v>
      </c>
      <c r="K183" t="str" cm="1">
        <f t="array" ref="K18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84" spans="1:11" x14ac:dyDescent="0.35">
      <c r="A184" s="16" t="s">
        <v>36</v>
      </c>
      <c r="B184" t="s">
        <v>46</v>
      </c>
      <c r="C184" t="s">
        <v>47</v>
      </c>
      <c r="D184" t="s">
        <v>40</v>
      </c>
      <c r="E184" t="s">
        <v>22</v>
      </c>
      <c r="F184" t="s">
        <v>15</v>
      </c>
      <c r="G184">
        <v>7</v>
      </c>
      <c r="H184">
        <v>7</v>
      </c>
      <c r="I184">
        <v>0</v>
      </c>
      <c r="J184">
        <v>3.5</v>
      </c>
      <c r="K184" t="str" cm="1">
        <f t="array" ref="K18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185" spans="1:11" x14ac:dyDescent="0.35">
      <c r="A185" s="16" t="s">
        <v>43</v>
      </c>
      <c r="B185" t="s">
        <v>37</v>
      </c>
      <c r="C185" t="s">
        <v>38</v>
      </c>
      <c r="D185" t="s">
        <v>32</v>
      </c>
      <c r="E185" t="s">
        <v>30</v>
      </c>
      <c r="F185" t="s">
        <v>15</v>
      </c>
      <c r="G185">
        <v>8</v>
      </c>
      <c r="H185">
        <v>7</v>
      </c>
      <c r="I185">
        <v>0</v>
      </c>
      <c r="J185">
        <v>2.1</v>
      </c>
      <c r="K185" t="str" cm="1">
        <f t="array" ref="K18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186" spans="1:11" x14ac:dyDescent="0.35">
      <c r="A186" s="16" t="s">
        <v>61</v>
      </c>
      <c r="B186" t="s">
        <v>41</v>
      </c>
      <c r="C186" t="s">
        <v>42</v>
      </c>
      <c r="D186" t="s">
        <v>32</v>
      </c>
      <c r="E186" t="s">
        <v>53</v>
      </c>
      <c r="F186" t="s">
        <v>15</v>
      </c>
      <c r="G186">
        <v>4</v>
      </c>
      <c r="H186">
        <v>4</v>
      </c>
      <c r="I186">
        <v>0</v>
      </c>
      <c r="J186">
        <v>3.1</v>
      </c>
      <c r="K186" t="str" cm="1">
        <f t="array" ref="K18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187" spans="1:11" x14ac:dyDescent="0.35">
      <c r="A187" s="16" t="s">
        <v>33</v>
      </c>
      <c r="B187" t="s">
        <v>48</v>
      </c>
      <c r="C187" t="s">
        <v>49</v>
      </c>
      <c r="D187" t="s">
        <v>40</v>
      </c>
      <c r="E187" t="s">
        <v>27</v>
      </c>
      <c r="F187" t="s">
        <v>15</v>
      </c>
      <c r="G187">
        <v>5</v>
      </c>
      <c r="H187">
        <v>4</v>
      </c>
      <c r="I187">
        <v>0</v>
      </c>
      <c r="J187">
        <v>3.5</v>
      </c>
      <c r="K187" t="str" cm="1">
        <f t="array" ref="K18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88" spans="1:11" x14ac:dyDescent="0.35">
      <c r="A188" s="16" t="s">
        <v>10</v>
      </c>
      <c r="B188" t="s">
        <v>34</v>
      </c>
      <c r="C188" t="s">
        <v>35</v>
      </c>
      <c r="D188" t="s">
        <v>40</v>
      </c>
      <c r="E188" t="s">
        <v>30</v>
      </c>
      <c r="F188" t="s">
        <v>15</v>
      </c>
      <c r="G188">
        <v>3</v>
      </c>
      <c r="H188">
        <v>2</v>
      </c>
      <c r="I188">
        <v>0</v>
      </c>
      <c r="J188">
        <v>3.1</v>
      </c>
      <c r="K188" t="str" cm="1">
        <f t="array" ref="K18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89" spans="1:11" x14ac:dyDescent="0.35">
      <c r="A189" s="16" t="s">
        <v>50</v>
      </c>
      <c r="B189" t="s">
        <v>16</v>
      </c>
      <c r="C189" t="s">
        <v>60</v>
      </c>
      <c r="D189" t="s">
        <v>21</v>
      </c>
      <c r="E189" t="s">
        <v>14</v>
      </c>
      <c r="F189" t="s">
        <v>15</v>
      </c>
      <c r="G189">
        <v>3</v>
      </c>
      <c r="H189">
        <v>3</v>
      </c>
      <c r="I189">
        <v>0</v>
      </c>
      <c r="J189">
        <v>2.7</v>
      </c>
      <c r="K189" t="str" cm="1">
        <f t="array" ref="K18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190" spans="1:11" x14ac:dyDescent="0.35">
      <c r="A190" s="16" t="s">
        <v>31</v>
      </c>
      <c r="B190" t="s">
        <v>11</v>
      </c>
      <c r="C190" t="s">
        <v>12</v>
      </c>
      <c r="D190" t="s">
        <v>13</v>
      </c>
      <c r="E190" t="s">
        <v>22</v>
      </c>
      <c r="F190" t="s">
        <v>15</v>
      </c>
      <c r="G190">
        <v>6</v>
      </c>
      <c r="H190">
        <v>5</v>
      </c>
      <c r="I190">
        <v>0</v>
      </c>
      <c r="J190">
        <v>2</v>
      </c>
      <c r="K190" t="str" cm="1">
        <f t="array" ref="K19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191" spans="1:11" x14ac:dyDescent="0.35">
      <c r="A191" s="16" t="s">
        <v>55</v>
      </c>
      <c r="B191" t="s">
        <v>41</v>
      </c>
      <c r="C191" t="s">
        <v>44</v>
      </c>
      <c r="D191" t="s">
        <v>26</v>
      </c>
      <c r="E191" t="s">
        <v>14</v>
      </c>
      <c r="F191" t="s">
        <v>19</v>
      </c>
      <c r="G191">
        <v>7</v>
      </c>
      <c r="H191">
        <v>7</v>
      </c>
      <c r="I191">
        <v>0</v>
      </c>
      <c r="J191">
        <v>2.8</v>
      </c>
      <c r="K191" t="str" cm="1">
        <f t="array" ref="K19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192" spans="1:11" x14ac:dyDescent="0.35">
      <c r="A192" s="16" t="s">
        <v>10</v>
      </c>
      <c r="B192" t="s">
        <v>56</v>
      </c>
      <c r="C192" t="s">
        <v>57</v>
      </c>
      <c r="D192" t="s">
        <v>21</v>
      </c>
      <c r="E192" t="s">
        <v>14</v>
      </c>
      <c r="F192" t="s">
        <v>15</v>
      </c>
      <c r="G192">
        <v>2</v>
      </c>
      <c r="H192">
        <v>2</v>
      </c>
      <c r="I192">
        <v>0</v>
      </c>
      <c r="J192">
        <v>1.5</v>
      </c>
      <c r="K192" t="str" cm="1">
        <f t="array" ref="K19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93" spans="1:11" x14ac:dyDescent="0.35">
      <c r="A193" s="16" t="s">
        <v>59</v>
      </c>
      <c r="B193" t="s">
        <v>11</v>
      </c>
      <c r="C193" t="s">
        <v>12</v>
      </c>
      <c r="D193" t="s">
        <v>22</v>
      </c>
      <c r="E193" t="s">
        <v>27</v>
      </c>
      <c r="F193" t="s">
        <v>15</v>
      </c>
      <c r="G193">
        <v>1</v>
      </c>
      <c r="H193">
        <v>0</v>
      </c>
      <c r="I193">
        <v>0</v>
      </c>
      <c r="J193">
        <v>3.2</v>
      </c>
      <c r="K193" t="str" cm="1">
        <f t="array" ref="K19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194" spans="1:11" x14ac:dyDescent="0.35">
      <c r="A194" s="16" t="s">
        <v>33</v>
      </c>
      <c r="B194" t="s">
        <v>48</v>
      </c>
      <c r="C194" t="s">
        <v>63</v>
      </c>
      <c r="D194" t="s">
        <v>21</v>
      </c>
      <c r="E194" t="s">
        <v>53</v>
      </c>
      <c r="F194" t="s">
        <v>19</v>
      </c>
      <c r="G194">
        <v>6</v>
      </c>
      <c r="H194">
        <v>6</v>
      </c>
      <c r="I194">
        <v>0</v>
      </c>
      <c r="J194">
        <v>4.2</v>
      </c>
      <c r="K194" t="str" cm="1">
        <f t="array" ref="K19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195" spans="1:11" x14ac:dyDescent="0.35">
      <c r="A195" s="16" t="s">
        <v>43</v>
      </c>
      <c r="B195" t="s">
        <v>34</v>
      </c>
      <c r="C195" t="s">
        <v>35</v>
      </c>
      <c r="D195" t="s">
        <v>22</v>
      </c>
      <c r="E195" t="s">
        <v>18</v>
      </c>
      <c r="F195" t="s">
        <v>15</v>
      </c>
      <c r="G195">
        <v>8</v>
      </c>
      <c r="H195">
        <v>7</v>
      </c>
      <c r="I195">
        <v>0</v>
      </c>
      <c r="J195">
        <v>2.1</v>
      </c>
      <c r="K195" t="str" cm="1">
        <f t="array" ref="K19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196" spans="1:11" x14ac:dyDescent="0.35">
      <c r="A196" s="16" t="s">
        <v>59</v>
      </c>
      <c r="B196" t="s">
        <v>41</v>
      </c>
      <c r="C196" t="s">
        <v>42</v>
      </c>
      <c r="D196" t="s">
        <v>13</v>
      </c>
      <c r="E196" t="s">
        <v>14</v>
      </c>
      <c r="F196" t="s">
        <v>19</v>
      </c>
      <c r="G196">
        <v>4</v>
      </c>
      <c r="H196">
        <v>4</v>
      </c>
      <c r="I196">
        <v>0</v>
      </c>
      <c r="J196">
        <v>3.3</v>
      </c>
      <c r="K196" t="str" cm="1">
        <f t="array" ref="K19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197" spans="1:11" x14ac:dyDescent="0.35">
      <c r="A197" s="16" t="s">
        <v>61</v>
      </c>
      <c r="B197" t="s">
        <v>24</v>
      </c>
      <c r="C197" t="s">
        <v>25</v>
      </c>
      <c r="D197" t="s">
        <v>13</v>
      </c>
      <c r="E197" t="s">
        <v>27</v>
      </c>
      <c r="F197" t="s">
        <v>15</v>
      </c>
      <c r="G197">
        <v>3</v>
      </c>
      <c r="H197">
        <v>2</v>
      </c>
      <c r="I197">
        <v>0</v>
      </c>
      <c r="J197">
        <v>3.8</v>
      </c>
      <c r="K197" t="str" cm="1">
        <f t="array" ref="K19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198" spans="1:11" x14ac:dyDescent="0.35">
      <c r="A198" s="16" t="s">
        <v>43</v>
      </c>
      <c r="B198" t="s">
        <v>41</v>
      </c>
      <c r="C198" t="s">
        <v>42</v>
      </c>
      <c r="D198" t="s">
        <v>32</v>
      </c>
      <c r="E198" t="s">
        <v>22</v>
      </c>
      <c r="F198" t="s">
        <v>15</v>
      </c>
      <c r="G198">
        <v>2</v>
      </c>
      <c r="H198">
        <v>2</v>
      </c>
      <c r="I198">
        <v>0</v>
      </c>
      <c r="J198">
        <v>1.7</v>
      </c>
      <c r="K198" t="str" cm="1">
        <f t="array" ref="K19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199" spans="1:11" x14ac:dyDescent="0.35">
      <c r="A199" s="16" t="s">
        <v>45</v>
      </c>
      <c r="B199" t="s">
        <v>46</v>
      </c>
      <c r="C199" t="s">
        <v>47</v>
      </c>
      <c r="D199" t="s">
        <v>40</v>
      </c>
      <c r="E199" t="s">
        <v>27</v>
      </c>
      <c r="F199" t="s">
        <v>15</v>
      </c>
      <c r="G199">
        <v>4</v>
      </c>
      <c r="H199">
        <v>4</v>
      </c>
      <c r="I199">
        <v>0</v>
      </c>
      <c r="J199">
        <v>2</v>
      </c>
      <c r="K199" t="str" cm="1">
        <f t="array" ref="K19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200" spans="1:11" x14ac:dyDescent="0.35">
      <c r="A200" s="16" t="s">
        <v>43</v>
      </c>
      <c r="B200" t="s">
        <v>34</v>
      </c>
      <c r="C200" t="s">
        <v>51</v>
      </c>
      <c r="D200" t="s">
        <v>26</v>
      </c>
      <c r="E200" t="s">
        <v>22</v>
      </c>
      <c r="F200" t="s">
        <v>15</v>
      </c>
      <c r="G200">
        <v>2</v>
      </c>
      <c r="H200">
        <v>2</v>
      </c>
      <c r="I200">
        <v>1</v>
      </c>
      <c r="J200">
        <v>4</v>
      </c>
      <c r="K200" t="str" cm="1">
        <f t="array" ref="K20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201" spans="1:11" x14ac:dyDescent="0.35">
      <c r="A201" s="16" t="s">
        <v>10</v>
      </c>
      <c r="B201" t="s">
        <v>56</v>
      </c>
      <c r="C201" t="s">
        <v>62</v>
      </c>
      <c r="D201" t="s">
        <v>22</v>
      </c>
      <c r="E201" t="s">
        <v>18</v>
      </c>
      <c r="F201" t="s">
        <v>15</v>
      </c>
      <c r="G201">
        <v>3</v>
      </c>
      <c r="H201">
        <v>3</v>
      </c>
      <c r="I201">
        <v>0</v>
      </c>
      <c r="J201">
        <v>2.2000000000000002</v>
      </c>
      <c r="K201" t="str" cm="1">
        <f t="array" ref="K20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202" spans="1:11" x14ac:dyDescent="0.35">
      <c r="A202" s="16" t="s">
        <v>23</v>
      </c>
      <c r="B202" t="s">
        <v>24</v>
      </c>
      <c r="C202" t="s">
        <v>64</v>
      </c>
      <c r="D202" t="s">
        <v>13</v>
      </c>
      <c r="E202" t="s">
        <v>18</v>
      </c>
      <c r="F202" t="s">
        <v>19</v>
      </c>
      <c r="G202">
        <v>5</v>
      </c>
      <c r="H202">
        <v>3</v>
      </c>
      <c r="I202">
        <v>0</v>
      </c>
      <c r="J202">
        <v>4.5</v>
      </c>
      <c r="K202" t="str" cm="1">
        <f t="array" ref="K20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203" spans="1:11" x14ac:dyDescent="0.35">
      <c r="A203" s="16" t="s">
        <v>43</v>
      </c>
      <c r="B203" t="s">
        <v>41</v>
      </c>
      <c r="C203" t="s">
        <v>42</v>
      </c>
      <c r="D203" t="s">
        <v>40</v>
      </c>
      <c r="E203" t="s">
        <v>14</v>
      </c>
      <c r="F203" t="s">
        <v>15</v>
      </c>
      <c r="G203">
        <v>5</v>
      </c>
      <c r="H203">
        <v>5</v>
      </c>
      <c r="I203">
        <v>0</v>
      </c>
      <c r="J203">
        <v>3.5</v>
      </c>
      <c r="K203" t="str" cm="1">
        <f t="array" ref="K20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204" spans="1:11" x14ac:dyDescent="0.35">
      <c r="A204" s="16" t="s">
        <v>50</v>
      </c>
      <c r="B204" t="s">
        <v>46</v>
      </c>
      <c r="C204" t="s">
        <v>54</v>
      </c>
      <c r="D204" t="s">
        <v>32</v>
      </c>
      <c r="E204" t="s">
        <v>30</v>
      </c>
      <c r="F204" t="s">
        <v>15</v>
      </c>
      <c r="G204">
        <v>5</v>
      </c>
      <c r="H204">
        <v>4</v>
      </c>
      <c r="I204">
        <v>0</v>
      </c>
      <c r="J204">
        <v>3.9</v>
      </c>
      <c r="K204" t="str" cm="1">
        <f t="array" ref="K20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205" spans="1:11" x14ac:dyDescent="0.35">
      <c r="A205" s="16" t="s">
        <v>61</v>
      </c>
      <c r="B205" t="s">
        <v>41</v>
      </c>
      <c r="C205" t="s">
        <v>42</v>
      </c>
      <c r="D205" t="s">
        <v>40</v>
      </c>
      <c r="E205" t="s">
        <v>53</v>
      </c>
      <c r="F205" t="s">
        <v>15</v>
      </c>
      <c r="G205">
        <v>10</v>
      </c>
      <c r="H205">
        <v>9</v>
      </c>
      <c r="I205">
        <v>2</v>
      </c>
      <c r="J205">
        <v>2.4</v>
      </c>
      <c r="K205" t="str" cm="1">
        <f t="array" ref="K20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206" spans="1:11" x14ac:dyDescent="0.35">
      <c r="A206" s="16" t="s">
        <v>31</v>
      </c>
      <c r="B206" t="s">
        <v>48</v>
      </c>
      <c r="C206" t="s">
        <v>49</v>
      </c>
      <c r="D206" t="s">
        <v>40</v>
      </c>
      <c r="E206" t="s">
        <v>22</v>
      </c>
      <c r="F206" t="s">
        <v>19</v>
      </c>
      <c r="G206">
        <v>2</v>
      </c>
      <c r="H206">
        <v>2</v>
      </c>
      <c r="I206">
        <v>0</v>
      </c>
      <c r="J206">
        <v>2.5</v>
      </c>
      <c r="K206" t="str" cm="1">
        <f t="array" ref="K20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207" spans="1:11" x14ac:dyDescent="0.35">
      <c r="A207" s="16" t="s">
        <v>23</v>
      </c>
      <c r="B207" t="s">
        <v>37</v>
      </c>
      <c r="C207" t="s">
        <v>38</v>
      </c>
      <c r="D207" t="s">
        <v>22</v>
      </c>
      <c r="E207" t="s">
        <v>53</v>
      </c>
      <c r="F207" t="s">
        <v>15</v>
      </c>
      <c r="G207">
        <v>8</v>
      </c>
      <c r="H207">
        <v>6</v>
      </c>
      <c r="I207">
        <v>0</v>
      </c>
      <c r="J207">
        <v>3.6</v>
      </c>
      <c r="K207" t="str" cm="1">
        <f t="array" ref="K20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208" spans="1:11" x14ac:dyDescent="0.35">
      <c r="A208" s="16" t="s">
        <v>61</v>
      </c>
      <c r="B208" t="s">
        <v>56</v>
      </c>
      <c r="C208" t="s">
        <v>57</v>
      </c>
      <c r="D208" t="s">
        <v>40</v>
      </c>
      <c r="E208" t="s">
        <v>18</v>
      </c>
      <c r="F208" t="s">
        <v>19</v>
      </c>
      <c r="G208">
        <v>3</v>
      </c>
      <c r="H208">
        <v>3</v>
      </c>
      <c r="I208">
        <v>0</v>
      </c>
      <c r="J208">
        <v>4.3</v>
      </c>
      <c r="K208" t="str" cm="1">
        <f t="array" ref="K20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209" spans="1:11" x14ac:dyDescent="0.35">
      <c r="A209" s="16" t="s">
        <v>23</v>
      </c>
      <c r="B209" t="s">
        <v>41</v>
      </c>
      <c r="C209" t="s">
        <v>44</v>
      </c>
      <c r="D209" t="s">
        <v>40</v>
      </c>
      <c r="E209" t="s">
        <v>14</v>
      </c>
      <c r="F209" t="s">
        <v>19</v>
      </c>
      <c r="G209">
        <v>5</v>
      </c>
      <c r="H209">
        <v>4</v>
      </c>
      <c r="I209">
        <v>0</v>
      </c>
      <c r="J209">
        <v>2.6</v>
      </c>
      <c r="K209" t="str" cm="1">
        <f t="array" ref="K20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210" spans="1:11" x14ac:dyDescent="0.35">
      <c r="A210" s="16" t="s">
        <v>45</v>
      </c>
      <c r="B210" t="s">
        <v>41</v>
      </c>
      <c r="C210" t="s">
        <v>42</v>
      </c>
      <c r="D210" t="s">
        <v>26</v>
      </c>
      <c r="E210" t="s">
        <v>27</v>
      </c>
      <c r="F210" t="s">
        <v>19</v>
      </c>
      <c r="G210">
        <v>0</v>
      </c>
      <c r="H210">
        <v>0</v>
      </c>
      <c r="I210">
        <v>0</v>
      </c>
      <c r="J210">
        <v>2.2000000000000002</v>
      </c>
      <c r="K210" t="str" cm="1">
        <f t="array" ref="K21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211" spans="1:11" x14ac:dyDescent="0.35">
      <c r="A211" s="16" t="s">
        <v>59</v>
      </c>
      <c r="B211" t="s">
        <v>46</v>
      </c>
      <c r="C211" t="s">
        <v>47</v>
      </c>
      <c r="D211" t="s">
        <v>26</v>
      </c>
      <c r="E211" t="s">
        <v>22</v>
      </c>
      <c r="F211" t="s">
        <v>15</v>
      </c>
      <c r="G211">
        <v>4</v>
      </c>
      <c r="H211">
        <v>3</v>
      </c>
      <c r="I211">
        <v>2</v>
      </c>
      <c r="J211">
        <v>3.6</v>
      </c>
      <c r="K211" t="str" cm="1">
        <f t="array" ref="K21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212" spans="1:11" x14ac:dyDescent="0.35">
      <c r="A212" s="16" t="s">
        <v>31</v>
      </c>
      <c r="B212" t="s">
        <v>34</v>
      </c>
      <c r="C212" t="s">
        <v>35</v>
      </c>
      <c r="D212" t="s">
        <v>32</v>
      </c>
      <c r="E212" t="s">
        <v>14</v>
      </c>
      <c r="F212" t="s">
        <v>19</v>
      </c>
      <c r="G212">
        <v>8</v>
      </c>
      <c r="H212">
        <v>7</v>
      </c>
      <c r="I212">
        <v>0</v>
      </c>
      <c r="J212">
        <v>2.4</v>
      </c>
      <c r="K212" t="str" cm="1">
        <f t="array" ref="K21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213" spans="1:11" x14ac:dyDescent="0.35">
      <c r="A213" s="16" t="s">
        <v>59</v>
      </c>
      <c r="B213" t="s">
        <v>11</v>
      </c>
      <c r="C213" t="s">
        <v>12</v>
      </c>
      <c r="D213" t="s">
        <v>21</v>
      </c>
      <c r="E213" t="s">
        <v>27</v>
      </c>
      <c r="F213" t="s">
        <v>19</v>
      </c>
      <c r="G213">
        <v>5</v>
      </c>
      <c r="H213">
        <v>4</v>
      </c>
      <c r="I213">
        <v>1</v>
      </c>
      <c r="J213">
        <v>5.6</v>
      </c>
      <c r="K213" t="str" cm="1">
        <f t="array" ref="K21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214" spans="1:11" x14ac:dyDescent="0.35">
      <c r="A214" s="16" t="s">
        <v>23</v>
      </c>
      <c r="B214" t="s">
        <v>16</v>
      </c>
      <c r="C214" t="s">
        <v>17</v>
      </c>
      <c r="D214" t="s">
        <v>26</v>
      </c>
      <c r="E214" t="s">
        <v>53</v>
      </c>
      <c r="F214" t="s">
        <v>19</v>
      </c>
      <c r="G214">
        <v>4</v>
      </c>
      <c r="H214">
        <v>4</v>
      </c>
      <c r="I214">
        <v>0</v>
      </c>
      <c r="J214">
        <v>3.9</v>
      </c>
      <c r="K214" t="str" cm="1">
        <f t="array" ref="K21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215" spans="1:11" x14ac:dyDescent="0.35">
      <c r="A215" s="16" t="s">
        <v>43</v>
      </c>
      <c r="B215" t="s">
        <v>46</v>
      </c>
      <c r="C215" t="s">
        <v>47</v>
      </c>
      <c r="D215" t="s">
        <v>22</v>
      </c>
      <c r="E215" t="s">
        <v>18</v>
      </c>
      <c r="F215" t="s">
        <v>19</v>
      </c>
      <c r="G215">
        <v>4</v>
      </c>
      <c r="H215">
        <v>4</v>
      </c>
      <c r="I215">
        <v>0</v>
      </c>
      <c r="J215">
        <v>3.7</v>
      </c>
      <c r="K215" t="str" cm="1">
        <f t="array" ref="K21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216" spans="1:11" x14ac:dyDescent="0.35">
      <c r="A216" s="16" t="s">
        <v>31</v>
      </c>
      <c r="B216" t="s">
        <v>16</v>
      </c>
      <c r="C216" t="s">
        <v>17</v>
      </c>
      <c r="D216" t="s">
        <v>22</v>
      </c>
      <c r="E216" t="s">
        <v>22</v>
      </c>
      <c r="F216" t="s">
        <v>15</v>
      </c>
      <c r="G216">
        <v>8</v>
      </c>
      <c r="H216">
        <v>8</v>
      </c>
      <c r="I216">
        <v>1</v>
      </c>
      <c r="J216">
        <v>4.2</v>
      </c>
      <c r="K216" t="str" cm="1">
        <f t="array" ref="K21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217" spans="1:11" x14ac:dyDescent="0.35">
      <c r="A217" s="16" t="s">
        <v>36</v>
      </c>
      <c r="B217" t="s">
        <v>37</v>
      </c>
      <c r="C217" t="s">
        <v>38</v>
      </c>
      <c r="D217" t="s">
        <v>21</v>
      </c>
      <c r="E217" t="s">
        <v>22</v>
      </c>
      <c r="F217" t="s">
        <v>19</v>
      </c>
      <c r="G217">
        <v>4</v>
      </c>
      <c r="H217">
        <v>4</v>
      </c>
      <c r="I217">
        <v>1</v>
      </c>
      <c r="J217">
        <v>1.1000000000000001</v>
      </c>
      <c r="K217" t="str" cm="1">
        <f t="array" ref="K21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218" spans="1:11" x14ac:dyDescent="0.35">
      <c r="A218" s="16" t="s">
        <v>55</v>
      </c>
      <c r="B218" t="s">
        <v>11</v>
      </c>
      <c r="C218" t="s">
        <v>12</v>
      </c>
      <c r="D218" t="s">
        <v>22</v>
      </c>
      <c r="E218" t="s">
        <v>22</v>
      </c>
      <c r="F218" t="s">
        <v>15</v>
      </c>
      <c r="G218">
        <v>5</v>
      </c>
      <c r="H218">
        <v>4</v>
      </c>
      <c r="I218">
        <v>1</v>
      </c>
      <c r="J218">
        <v>3.5</v>
      </c>
      <c r="K218" t="str" cm="1">
        <f t="array" ref="K21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219" spans="1:11" x14ac:dyDescent="0.35">
      <c r="A219" s="16" t="s">
        <v>55</v>
      </c>
      <c r="B219" t="s">
        <v>16</v>
      </c>
      <c r="C219" t="s">
        <v>60</v>
      </c>
      <c r="D219" t="s">
        <v>13</v>
      </c>
      <c r="E219" t="s">
        <v>53</v>
      </c>
      <c r="F219" t="s">
        <v>19</v>
      </c>
      <c r="G219">
        <v>3</v>
      </c>
      <c r="H219">
        <v>3</v>
      </c>
      <c r="I219">
        <v>0</v>
      </c>
      <c r="J219">
        <v>2.5</v>
      </c>
      <c r="K219" t="str" cm="1">
        <f t="array" ref="K21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220" spans="1:11" x14ac:dyDescent="0.35">
      <c r="A220" s="16" t="s">
        <v>33</v>
      </c>
      <c r="B220" t="s">
        <v>24</v>
      </c>
      <c r="C220" t="s">
        <v>64</v>
      </c>
      <c r="D220" t="s">
        <v>13</v>
      </c>
      <c r="E220" t="s">
        <v>18</v>
      </c>
      <c r="F220" t="s">
        <v>19</v>
      </c>
      <c r="G220">
        <v>5</v>
      </c>
      <c r="H220">
        <v>4</v>
      </c>
      <c r="I220">
        <v>0</v>
      </c>
      <c r="J220">
        <v>2.9</v>
      </c>
      <c r="K220" t="str" cm="1">
        <f t="array" ref="K22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221" spans="1:11" x14ac:dyDescent="0.35">
      <c r="A221" s="16" t="s">
        <v>61</v>
      </c>
      <c r="B221" t="s">
        <v>41</v>
      </c>
      <c r="C221" t="s">
        <v>42</v>
      </c>
      <c r="D221" t="s">
        <v>26</v>
      </c>
      <c r="E221" t="s">
        <v>14</v>
      </c>
      <c r="F221" t="s">
        <v>15</v>
      </c>
      <c r="G221">
        <v>4</v>
      </c>
      <c r="H221">
        <v>3</v>
      </c>
      <c r="I221">
        <v>0</v>
      </c>
      <c r="J221">
        <v>2.8</v>
      </c>
      <c r="K221" t="str" cm="1">
        <f t="array" ref="K22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222" spans="1:11" x14ac:dyDescent="0.35">
      <c r="A222" s="16" t="s">
        <v>10</v>
      </c>
      <c r="B222" t="s">
        <v>46</v>
      </c>
      <c r="C222" t="s">
        <v>54</v>
      </c>
      <c r="D222" t="s">
        <v>13</v>
      </c>
      <c r="E222" t="s">
        <v>18</v>
      </c>
      <c r="F222" t="s">
        <v>19</v>
      </c>
      <c r="G222">
        <v>3</v>
      </c>
      <c r="H222">
        <v>3</v>
      </c>
      <c r="I222">
        <v>1</v>
      </c>
      <c r="J222">
        <v>3.1</v>
      </c>
      <c r="K222" t="str" cm="1">
        <f t="array" ref="K22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223" spans="1:11" x14ac:dyDescent="0.35">
      <c r="A223" s="16" t="s">
        <v>45</v>
      </c>
      <c r="B223" t="s">
        <v>37</v>
      </c>
      <c r="C223" t="s">
        <v>38</v>
      </c>
      <c r="D223" t="s">
        <v>32</v>
      </c>
      <c r="E223" t="s">
        <v>22</v>
      </c>
      <c r="F223" t="s">
        <v>19</v>
      </c>
      <c r="G223">
        <v>3</v>
      </c>
      <c r="H223">
        <v>3</v>
      </c>
      <c r="I223">
        <v>1</v>
      </c>
      <c r="J223">
        <v>1.9</v>
      </c>
      <c r="K223" t="str" cm="1">
        <f t="array" ref="K22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224" spans="1:11" x14ac:dyDescent="0.35">
      <c r="A224" s="16" t="s">
        <v>61</v>
      </c>
      <c r="B224" t="s">
        <v>48</v>
      </c>
      <c r="C224" t="s">
        <v>63</v>
      </c>
      <c r="D224" t="s">
        <v>26</v>
      </c>
      <c r="E224" t="s">
        <v>27</v>
      </c>
      <c r="F224" t="s">
        <v>15</v>
      </c>
      <c r="G224">
        <v>4</v>
      </c>
      <c r="H224">
        <v>3</v>
      </c>
      <c r="I224">
        <v>1</v>
      </c>
      <c r="J224">
        <v>3.8</v>
      </c>
      <c r="K224" t="str" cm="1">
        <f t="array" ref="K22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225" spans="1:11" x14ac:dyDescent="0.35">
      <c r="A225" s="16" t="s">
        <v>61</v>
      </c>
      <c r="B225" t="s">
        <v>16</v>
      </c>
      <c r="C225" t="s">
        <v>60</v>
      </c>
      <c r="D225" t="s">
        <v>40</v>
      </c>
      <c r="E225" t="s">
        <v>30</v>
      </c>
      <c r="F225" t="s">
        <v>15</v>
      </c>
      <c r="G225">
        <v>6</v>
      </c>
      <c r="H225">
        <v>6</v>
      </c>
      <c r="I225">
        <v>0</v>
      </c>
      <c r="J225">
        <v>1.7</v>
      </c>
      <c r="K225" t="str" cm="1">
        <f t="array" ref="K22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226" spans="1:11" x14ac:dyDescent="0.35">
      <c r="A226" s="16" t="s">
        <v>23</v>
      </c>
      <c r="B226" t="s">
        <v>28</v>
      </c>
      <c r="C226" t="s">
        <v>29</v>
      </c>
      <c r="D226" t="s">
        <v>21</v>
      </c>
      <c r="E226" t="s">
        <v>27</v>
      </c>
      <c r="F226" t="s">
        <v>19</v>
      </c>
      <c r="G226">
        <v>5</v>
      </c>
      <c r="H226">
        <v>4</v>
      </c>
      <c r="I226">
        <v>0</v>
      </c>
      <c r="J226">
        <v>3.4</v>
      </c>
      <c r="K226" t="str" cm="1">
        <f t="array" ref="K22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227" spans="1:11" x14ac:dyDescent="0.35">
      <c r="A227" s="16" t="s">
        <v>33</v>
      </c>
      <c r="B227" t="s">
        <v>46</v>
      </c>
      <c r="C227" t="s">
        <v>54</v>
      </c>
      <c r="D227" t="s">
        <v>40</v>
      </c>
      <c r="E227" t="s">
        <v>30</v>
      </c>
      <c r="F227" t="s">
        <v>15</v>
      </c>
      <c r="G227">
        <v>3</v>
      </c>
      <c r="H227">
        <v>2</v>
      </c>
      <c r="I227">
        <v>0</v>
      </c>
      <c r="J227">
        <v>4.8</v>
      </c>
      <c r="K227" t="str" cm="1">
        <f t="array" ref="K22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228" spans="1:11" x14ac:dyDescent="0.35">
      <c r="A228" s="16" t="s">
        <v>61</v>
      </c>
      <c r="B228" t="s">
        <v>24</v>
      </c>
      <c r="C228" t="s">
        <v>25</v>
      </c>
      <c r="D228" t="s">
        <v>13</v>
      </c>
      <c r="E228" t="s">
        <v>18</v>
      </c>
      <c r="F228" t="s">
        <v>15</v>
      </c>
      <c r="G228">
        <v>5</v>
      </c>
      <c r="H228">
        <v>5</v>
      </c>
      <c r="I228">
        <v>1</v>
      </c>
      <c r="J228">
        <v>2.4</v>
      </c>
      <c r="K228" t="str" cm="1">
        <f t="array" ref="K22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229" spans="1:11" x14ac:dyDescent="0.35">
      <c r="A229" s="16" t="s">
        <v>20</v>
      </c>
      <c r="B229" t="s">
        <v>46</v>
      </c>
      <c r="C229" t="s">
        <v>47</v>
      </c>
      <c r="D229" t="s">
        <v>32</v>
      </c>
      <c r="E229" t="s">
        <v>22</v>
      </c>
      <c r="F229" t="s">
        <v>15</v>
      </c>
      <c r="G229">
        <v>4</v>
      </c>
      <c r="H229">
        <v>3</v>
      </c>
      <c r="I229">
        <v>0</v>
      </c>
      <c r="J229">
        <v>2.9</v>
      </c>
      <c r="K229" t="str" cm="1">
        <f t="array" ref="K22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30" spans="1:11" x14ac:dyDescent="0.35">
      <c r="A230" s="16" t="s">
        <v>55</v>
      </c>
      <c r="B230" t="s">
        <v>28</v>
      </c>
      <c r="C230" t="s">
        <v>29</v>
      </c>
      <c r="D230" t="s">
        <v>40</v>
      </c>
      <c r="E230" t="s">
        <v>30</v>
      </c>
      <c r="F230" t="s">
        <v>15</v>
      </c>
      <c r="G230">
        <v>8</v>
      </c>
      <c r="H230">
        <v>8</v>
      </c>
      <c r="I230">
        <v>0</v>
      </c>
      <c r="J230">
        <v>3.1</v>
      </c>
      <c r="K230" t="str" cm="1">
        <f t="array" ref="K23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231" spans="1:11" x14ac:dyDescent="0.35">
      <c r="A231" s="16" t="s">
        <v>20</v>
      </c>
      <c r="B231" t="s">
        <v>48</v>
      </c>
      <c r="C231" t="s">
        <v>49</v>
      </c>
      <c r="D231" t="s">
        <v>21</v>
      </c>
      <c r="E231" t="s">
        <v>30</v>
      </c>
      <c r="F231" t="s">
        <v>15</v>
      </c>
      <c r="G231">
        <v>7</v>
      </c>
      <c r="H231">
        <v>6</v>
      </c>
      <c r="I231">
        <v>0</v>
      </c>
      <c r="J231">
        <v>3.9</v>
      </c>
      <c r="K231" t="str" cm="1">
        <f t="array" ref="K23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32" spans="1:11" x14ac:dyDescent="0.35">
      <c r="A232" s="16" t="s">
        <v>23</v>
      </c>
      <c r="B232" t="s">
        <v>56</v>
      </c>
      <c r="C232" t="s">
        <v>57</v>
      </c>
      <c r="D232" t="s">
        <v>22</v>
      </c>
      <c r="E232" t="s">
        <v>22</v>
      </c>
      <c r="F232" t="s">
        <v>19</v>
      </c>
      <c r="G232">
        <v>8</v>
      </c>
      <c r="H232">
        <v>7</v>
      </c>
      <c r="I232">
        <v>0</v>
      </c>
      <c r="J232">
        <v>2.7</v>
      </c>
      <c r="K232" t="str" cm="1">
        <f t="array" ref="K23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233" spans="1:11" x14ac:dyDescent="0.35">
      <c r="A233" s="16" t="s">
        <v>20</v>
      </c>
      <c r="B233" t="s">
        <v>41</v>
      </c>
      <c r="C233" t="s">
        <v>42</v>
      </c>
      <c r="D233" t="s">
        <v>13</v>
      </c>
      <c r="E233" t="s">
        <v>18</v>
      </c>
      <c r="F233" t="s">
        <v>15</v>
      </c>
      <c r="G233">
        <v>5</v>
      </c>
      <c r="H233">
        <v>5</v>
      </c>
      <c r="I233">
        <v>1</v>
      </c>
      <c r="J233">
        <v>2.6</v>
      </c>
      <c r="K233" t="str" cm="1">
        <f t="array" ref="K23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34" spans="1:11" x14ac:dyDescent="0.35">
      <c r="A234" s="16" t="s">
        <v>55</v>
      </c>
      <c r="B234" t="s">
        <v>48</v>
      </c>
      <c r="C234" t="s">
        <v>49</v>
      </c>
      <c r="D234" t="s">
        <v>26</v>
      </c>
      <c r="E234" t="s">
        <v>30</v>
      </c>
      <c r="F234" t="s">
        <v>19</v>
      </c>
      <c r="G234">
        <v>9</v>
      </c>
      <c r="H234">
        <v>9</v>
      </c>
      <c r="I234">
        <v>0</v>
      </c>
      <c r="J234">
        <v>4.2</v>
      </c>
      <c r="K234" t="str" cm="1">
        <f t="array" ref="K23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235" spans="1:11" x14ac:dyDescent="0.35">
      <c r="A235" s="16" t="s">
        <v>23</v>
      </c>
      <c r="B235" t="s">
        <v>34</v>
      </c>
      <c r="C235" t="s">
        <v>51</v>
      </c>
      <c r="D235" t="s">
        <v>22</v>
      </c>
      <c r="E235" t="s">
        <v>30</v>
      </c>
      <c r="F235" t="s">
        <v>15</v>
      </c>
      <c r="G235">
        <v>5</v>
      </c>
      <c r="H235">
        <v>4</v>
      </c>
      <c r="I235">
        <v>0</v>
      </c>
      <c r="J235">
        <v>5.6</v>
      </c>
      <c r="K235" t="str" cm="1">
        <f t="array" ref="K23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236" spans="1:11" x14ac:dyDescent="0.35">
      <c r="A236" s="16" t="s">
        <v>50</v>
      </c>
      <c r="B236" t="s">
        <v>56</v>
      </c>
      <c r="C236" t="s">
        <v>57</v>
      </c>
      <c r="D236" t="s">
        <v>13</v>
      </c>
      <c r="E236" t="s">
        <v>18</v>
      </c>
      <c r="F236" t="s">
        <v>15</v>
      </c>
      <c r="G236">
        <v>7</v>
      </c>
      <c r="H236">
        <v>7</v>
      </c>
      <c r="I236">
        <v>0</v>
      </c>
      <c r="J236">
        <v>3.8</v>
      </c>
      <c r="K236" t="str" cm="1">
        <f t="array" ref="K23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237" spans="1:11" x14ac:dyDescent="0.35">
      <c r="A237" s="16" t="s">
        <v>55</v>
      </c>
      <c r="B237" t="s">
        <v>37</v>
      </c>
      <c r="C237" t="s">
        <v>38</v>
      </c>
      <c r="D237" t="s">
        <v>40</v>
      </c>
      <c r="E237" t="s">
        <v>53</v>
      </c>
      <c r="F237" t="s">
        <v>15</v>
      </c>
      <c r="G237">
        <v>2</v>
      </c>
      <c r="H237">
        <v>2</v>
      </c>
      <c r="I237">
        <v>0</v>
      </c>
      <c r="J237">
        <v>3.5</v>
      </c>
      <c r="K237" t="str" cm="1">
        <f t="array" ref="K23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238" spans="1:11" x14ac:dyDescent="0.35">
      <c r="A238" s="16" t="s">
        <v>36</v>
      </c>
      <c r="B238" t="s">
        <v>41</v>
      </c>
      <c r="C238" t="s">
        <v>42</v>
      </c>
      <c r="D238" t="s">
        <v>13</v>
      </c>
      <c r="E238" t="s">
        <v>27</v>
      </c>
      <c r="F238" t="s">
        <v>15</v>
      </c>
      <c r="G238">
        <v>8</v>
      </c>
      <c r="H238">
        <v>7</v>
      </c>
      <c r="I238">
        <v>0</v>
      </c>
      <c r="J238">
        <v>2.5</v>
      </c>
      <c r="K238" t="str" cm="1">
        <f t="array" ref="K23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239" spans="1:11" x14ac:dyDescent="0.35">
      <c r="A239" s="16" t="s">
        <v>55</v>
      </c>
      <c r="B239" t="s">
        <v>37</v>
      </c>
      <c r="C239" t="s">
        <v>38</v>
      </c>
      <c r="D239" t="s">
        <v>40</v>
      </c>
      <c r="E239" t="s">
        <v>22</v>
      </c>
      <c r="F239" t="s">
        <v>15</v>
      </c>
      <c r="G239">
        <v>5</v>
      </c>
      <c r="H239">
        <v>4</v>
      </c>
      <c r="I239">
        <v>0</v>
      </c>
      <c r="J239">
        <v>3.2</v>
      </c>
      <c r="K239" t="str" cm="1">
        <f t="array" ref="K23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240" spans="1:11" x14ac:dyDescent="0.35">
      <c r="A240" s="16" t="s">
        <v>45</v>
      </c>
      <c r="B240" t="s">
        <v>28</v>
      </c>
      <c r="C240" t="s">
        <v>58</v>
      </c>
      <c r="D240" t="s">
        <v>40</v>
      </c>
      <c r="E240" t="s">
        <v>22</v>
      </c>
      <c r="F240" t="s">
        <v>19</v>
      </c>
      <c r="G240">
        <v>2</v>
      </c>
      <c r="H240">
        <v>2</v>
      </c>
      <c r="I240">
        <v>0</v>
      </c>
      <c r="J240">
        <v>3.7</v>
      </c>
      <c r="K240" t="str" cm="1">
        <f t="array" ref="K24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241" spans="1:11" x14ac:dyDescent="0.35">
      <c r="A241" s="16" t="s">
        <v>36</v>
      </c>
      <c r="B241" t="s">
        <v>28</v>
      </c>
      <c r="C241" t="s">
        <v>29</v>
      </c>
      <c r="D241" t="s">
        <v>26</v>
      </c>
      <c r="E241" t="s">
        <v>22</v>
      </c>
      <c r="F241" t="s">
        <v>15</v>
      </c>
      <c r="G241">
        <v>5</v>
      </c>
      <c r="H241">
        <v>5</v>
      </c>
      <c r="I241">
        <v>0</v>
      </c>
      <c r="J241">
        <v>3.7</v>
      </c>
      <c r="K241" t="str" cm="1">
        <f t="array" ref="K24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242" spans="1:11" x14ac:dyDescent="0.35">
      <c r="A242" s="16" t="s">
        <v>10</v>
      </c>
      <c r="B242" t="s">
        <v>46</v>
      </c>
      <c r="C242" t="s">
        <v>54</v>
      </c>
      <c r="D242" t="s">
        <v>40</v>
      </c>
      <c r="E242" t="s">
        <v>30</v>
      </c>
      <c r="F242" t="s">
        <v>15</v>
      </c>
      <c r="G242">
        <v>6</v>
      </c>
      <c r="H242">
        <v>5</v>
      </c>
      <c r="I242">
        <v>1</v>
      </c>
      <c r="J242">
        <v>3.7</v>
      </c>
      <c r="K242" t="str" cm="1">
        <f t="array" ref="K24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243" spans="1:11" x14ac:dyDescent="0.35">
      <c r="A243" s="16" t="s">
        <v>23</v>
      </c>
      <c r="B243" t="s">
        <v>48</v>
      </c>
      <c r="C243" t="s">
        <v>63</v>
      </c>
      <c r="D243" t="s">
        <v>21</v>
      </c>
      <c r="E243" t="s">
        <v>22</v>
      </c>
      <c r="F243" t="s">
        <v>15</v>
      </c>
      <c r="G243">
        <v>4</v>
      </c>
      <c r="H243">
        <v>2</v>
      </c>
      <c r="I243">
        <v>0</v>
      </c>
      <c r="J243">
        <v>2.6</v>
      </c>
      <c r="K243" t="str" cm="1">
        <f t="array" ref="K24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244" spans="1:11" x14ac:dyDescent="0.35">
      <c r="A244" s="16" t="s">
        <v>43</v>
      </c>
      <c r="B244" t="s">
        <v>46</v>
      </c>
      <c r="C244" t="s">
        <v>54</v>
      </c>
      <c r="D244" t="s">
        <v>40</v>
      </c>
      <c r="E244" t="s">
        <v>53</v>
      </c>
      <c r="F244" t="s">
        <v>15</v>
      </c>
      <c r="G244">
        <v>5</v>
      </c>
      <c r="H244">
        <v>5</v>
      </c>
      <c r="I244">
        <v>0</v>
      </c>
      <c r="J244">
        <v>1.1000000000000001</v>
      </c>
      <c r="K244" t="str" cm="1">
        <f t="array" ref="K24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245" spans="1:11" x14ac:dyDescent="0.35">
      <c r="A245" s="16" t="s">
        <v>10</v>
      </c>
      <c r="B245" t="s">
        <v>16</v>
      </c>
      <c r="C245" t="s">
        <v>17</v>
      </c>
      <c r="D245" t="s">
        <v>13</v>
      </c>
      <c r="E245" t="s">
        <v>53</v>
      </c>
      <c r="F245" t="s">
        <v>19</v>
      </c>
      <c r="G245">
        <v>4</v>
      </c>
      <c r="H245">
        <v>3</v>
      </c>
      <c r="I245">
        <v>1</v>
      </c>
      <c r="J245">
        <v>2.7</v>
      </c>
      <c r="K245" t="str" cm="1">
        <f t="array" ref="K24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246" spans="1:11" x14ac:dyDescent="0.35">
      <c r="A246" s="16" t="s">
        <v>36</v>
      </c>
      <c r="B246" t="s">
        <v>41</v>
      </c>
      <c r="C246" t="s">
        <v>44</v>
      </c>
      <c r="D246" t="s">
        <v>22</v>
      </c>
      <c r="E246" t="s">
        <v>30</v>
      </c>
      <c r="F246" t="s">
        <v>19</v>
      </c>
      <c r="G246">
        <v>4</v>
      </c>
      <c r="H246">
        <v>4</v>
      </c>
      <c r="I246">
        <v>0</v>
      </c>
      <c r="J246">
        <v>3.1</v>
      </c>
      <c r="K246" t="str" cm="1">
        <f t="array" ref="K24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247" spans="1:11" x14ac:dyDescent="0.35">
      <c r="A247" s="16" t="s">
        <v>36</v>
      </c>
      <c r="B247" t="s">
        <v>56</v>
      </c>
      <c r="C247" t="s">
        <v>62</v>
      </c>
      <c r="D247" t="s">
        <v>21</v>
      </c>
      <c r="E247" t="s">
        <v>30</v>
      </c>
      <c r="F247" t="s">
        <v>19</v>
      </c>
      <c r="G247">
        <v>6</v>
      </c>
      <c r="H247">
        <v>6</v>
      </c>
      <c r="I247">
        <v>1</v>
      </c>
      <c r="J247">
        <v>2.5</v>
      </c>
      <c r="K247" t="str" cm="1">
        <f t="array" ref="K24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248" spans="1:11" x14ac:dyDescent="0.35">
      <c r="A248" s="16" t="s">
        <v>55</v>
      </c>
      <c r="B248" t="s">
        <v>46</v>
      </c>
      <c r="C248" t="s">
        <v>47</v>
      </c>
      <c r="D248" t="s">
        <v>13</v>
      </c>
      <c r="E248" t="s">
        <v>30</v>
      </c>
      <c r="F248" t="s">
        <v>15</v>
      </c>
      <c r="G248">
        <v>8</v>
      </c>
      <c r="H248">
        <v>7</v>
      </c>
      <c r="I248">
        <v>1</v>
      </c>
      <c r="J248">
        <v>5.0999999999999996</v>
      </c>
      <c r="K248" t="str" cm="1">
        <f t="array" ref="K24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249" spans="1:11" x14ac:dyDescent="0.35">
      <c r="A249" s="16" t="s">
        <v>50</v>
      </c>
      <c r="B249" t="s">
        <v>28</v>
      </c>
      <c r="C249" t="s">
        <v>58</v>
      </c>
      <c r="D249" t="s">
        <v>22</v>
      </c>
      <c r="E249" t="s">
        <v>53</v>
      </c>
      <c r="F249" t="s">
        <v>15</v>
      </c>
      <c r="G249">
        <v>5</v>
      </c>
      <c r="H249">
        <v>5</v>
      </c>
      <c r="I249">
        <v>0</v>
      </c>
      <c r="J249">
        <v>1.9</v>
      </c>
      <c r="K249" t="str" cm="1">
        <f t="array" ref="K24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250" spans="1:11" x14ac:dyDescent="0.35">
      <c r="A250" s="16" t="s">
        <v>20</v>
      </c>
      <c r="B250" t="s">
        <v>24</v>
      </c>
      <c r="C250" t="s">
        <v>64</v>
      </c>
      <c r="D250" t="s">
        <v>26</v>
      </c>
      <c r="E250" t="s">
        <v>27</v>
      </c>
      <c r="F250" t="s">
        <v>15</v>
      </c>
      <c r="G250">
        <v>6</v>
      </c>
      <c r="H250">
        <v>6</v>
      </c>
      <c r="I250">
        <v>0</v>
      </c>
      <c r="J250">
        <v>2.4</v>
      </c>
      <c r="K250" t="str" cm="1">
        <f t="array" ref="K25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51" spans="1:11" x14ac:dyDescent="0.35">
      <c r="A251" s="16" t="s">
        <v>20</v>
      </c>
      <c r="B251" t="s">
        <v>37</v>
      </c>
      <c r="C251" t="s">
        <v>39</v>
      </c>
      <c r="D251" t="s">
        <v>26</v>
      </c>
      <c r="E251" t="s">
        <v>53</v>
      </c>
      <c r="F251" t="s">
        <v>15</v>
      </c>
      <c r="G251">
        <v>4</v>
      </c>
      <c r="H251">
        <v>4</v>
      </c>
      <c r="I251">
        <v>0</v>
      </c>
      <c r="J251">
        <v>3</v>
      </c>
      <c r="K251" t="str" cm="1">
        <f t="array" ref="K25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52" spans="1:11" x14ac:dyDescent="0.35">
      <c r="A252" s="16" t="s">
        <v>20</v>
      </c>
      <c r="B252" t="s">
        <v>11</v>
      </c>
      <c r="C252" t="s">
        <v>12</v>
      </c>
      <c r="D252" t="s">
        <v>21</v>
      </c>
      <c r="E252" t="s">
        <v>27</v>
      </c>
      <c r="F252" t="s">
        <v>19</v>
      </c>
      <c r="G252">
        <v>3</v>
      </c>
      <c r="H252">
        <v>3</v>
      </c>
      <c r="I252">
        <v>0</v>
      </c>
      <c r="J252">
        <v>4.0999999999999996</v>
      </c>
      <c r="K252" t="str" cm="1">
        <f t="array" ref="K25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53" spans="1:11" x14ac:dyDescent="0.35">
      <c r="A253" s="16" t="s">
        <v>59</v>
      </c>
      <c r="B253" t="s">
        <v>37</v>
      </c>
      <c r="C253" t="s">
        <v>39</v>
      </c>
      <c r="D253" t="s">
        <v>40</v>
      </c>
      <c r="E253" t="s">
        <v>30</v>
      </c>
      <c r="F253" t="s">
        <v>19</v>
      </c>
      <c r="G253">
        <v>5</v>
      </c>
      <c r="H253">
        <v>4</v>
      </c>
      <c r="I253">
        <v>0</v>
      </c>
      <c r="J253">
        <v>2.4</v>
      </c>
      <c r="K253" t="str" cm="1">
        <f t="array" ref="K25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254" spans="1:11" x14ac:dyDescent="0.35">
      <c r="A254" s="16" t="s">
        <v>36</v>
      </c>
      <c r="B254" t="s">
        <v>28</v>
      </c>
      <c r="C254" t="s">
        <v>58</v>
      </c>
      <c r="D254" t="s">
        <v>26</v>
      </c>
      <c r="E254" t="s">
        <v>30</v>
      </c>
      <c r="F254" t="s">
        <v>15</v>
      </c>
      <c r="G254">
        <v>7</v>
      </c>
      <c r="H254">
        <v>7</v>
      </c>
      <c r="I254">
        <v>0</v>
      </c>
      <c r="J254">
        <v>3.8</v>
      </c>
      <c r="K254" t="str" cm="1">
        <f t="array" ref="K25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255" spans="1:11" x14ac:dyDescent="0.35">
      <c r="A255" s="16" t="s">
        <v>55</v>
      </c>
      <c r="B255" t="s">
        <v>37</v>
      </c>
      <c r="C255" t="s">
        <v>39</v>
      </c>
      <c r="D255" t="s">
        <v>21</v>
      </c>
      <c r="E255" t="s">
        <v>14</v>
      </c>
      <c r="F255" t="s">
        <v>19</v>
      </c>
      <c r="G255">
        <v>6</v>
      </c>
      <c r="H255">
        <v>5</v>
      </c>
      <c r="I255">
        <v>0</v>
      </c>
      <c r="J255">
        <v>2.8</v>
      </c>
      <c r="K255" t="str" cm="1">
        <f t="array" ref="K25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256" spans="1:11" x14ac:dyDescent="0.35">
      <c r="A256" s="16" t="s">
        <v>36</v>
      </c>
      <c r="B256" t="s">
        <v>24</v>
      </c>
      <c r="C256" t="s">
        <v>25</v>
      </c>
      <c r="D256" t="s">
        <v>13</v>
      </c>
      <c r="E256" t="s">
        <v>27</v>
      </c>
      <c r="F256" t="s">
        <v>19</v>
      </c>
      <c r="G256">
        <v>3</v>
      </c>
      <c r="H256">
        <v>3</v>
      </c>
      <c r="I256">
        <v>0</v>
      </c>
      <c r="J256">
        <v>0.8</v>
      </c>
      <c r="K256" t="str" cm="1">
        <f t="array" ref="K25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257" spans="1:11" x14ac:dyDescent="0.35">
      <c r="A257" s="16" t="s">
        <v>43</v>
      </c>
      <c r="B257" t="s">
        <v>41</v>
      </c>
      <c r="C257" t="s">
        <v>44</v>
      </c>
      <c r="D257" t="s">
        <v>26</v>
      </c>
      <c r="E257" t="s">
        <v>18</v>
      </c>
      <c r="F257" t="s">
        <v>15</v>
      </c>
      <c r="G257">
        <v>3</v>
      </c>
      <c r="H257">
        <v>3</v>
      </c>
      <c r="I257">
        <v>0</v>
      </c>
      <c r="J257">
        <v>2.2999999999999998</v>
      </c>
      <c r="K257" t="str" cm="1">
        <f t="array" ref="K25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258" spans="1:11" x14ac:dyDescent="0.35">
      <c r="A258" s="16" t="s">
        <v>43</v>
      </c>
      <c r="B258" t="s">
        <v>56</v>
      </c>
      <c r="C258" t="s">
        <v>62</v>
      </c>
      <c r="D258" t="s">
        <v>26</v>
      </c>
      <c r="E258" t="s">
        <v>27</v>
      </c>
      <c r="F258" t="s">
        <v>19</v>
      </c>
      <c r="G258">
        <v>5</v>
      </c>
      <c r="H258">
        <v>4</v>
      </c>
      <c r="I258">
        <v>1</v>
      </c>
      <c r="J258">
        <v>4</v>
      </c>
      <c r="K258" t="str" cm="1">
        <f t="array" ref="K25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259" spans="1:11" x14ac:dyDescent="0.35">
      <c r="A259" s="16" t="s">
        <v>55</v>
      </c>
      <c r="B259" t="s">
        <v>37</v>
      </c>
      <c r="C259" t="s">
        <v>39</v>
      </c>
      <c r="D259" t="s">
        <v>32</v>
      </c>
      <c r="E259" t="s">
        <v>22</v>
      </c>
      <c r="F259" t="s">
        <v>19</v>
      </c>
      <c r="G259">
        <v>3</v>
      </c>
      <c r="H259">
        <v>3</v>
      </c>
      <c r="I259">
        <v>0</v>
      </c>
      <c r="J259">
        <v>3.3</v>
      </c>
      <c r="K259" t="str" cm="1">
        <f t="array" ref="K25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260" spans="1:11" x14ac:dyDescent="0.35">
      <c r="A260" s="16" t="s">
        <v>45</v>
      </c>
      <c r="B260" t="s">
        <v>34</v>
      </c>
      <c r="C260" t="s">
        <v>51</v>
      </c>
      <c r="D260" t="s">
        <v>40</v>
      </c>
      <c r="E260" t="s">
        <v>30</v>
      </c>
      <c r="F260" t="s">
        <v>19</v>
      </c>
      <c r="G260">
        <v>1</v>
      </c>
      <c r="H260">
        <v>1</v>
      </c>
      <c r="I260">
        <v>0</v>
      </c>
      <c r="J260">
        <v>2.5</v>
      </c>
      <c r="K260" t="str" cm="1">
        <f t="array" ref="K26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261" spans="1:11" x14ac:dyDescent="0.35">
      <c r="A261" s="16" t="s">
        <v>50</v>
      </c>
      <c r="B261" t="s">
        <v>37</v>
      </c>
      <c r="C261" t="s">
        <v>39</v>
      </c>
      <c r="D261" t="s">
        <v>32</v>
      </c>
      <c r="E261" t="s">
        <v>14</v>
      </c>
      <c r="F261" t="s">
        <v>19</v>
      </c>
      <c r="G261">
        <v>6</v>
      </c>
      <c r="H261">
        <v>6</v>
      </c>
      <c r="I261">
        <v>0</v>
      </c>
      <c r="J261">
        <v>3.1</v>
      </c>
      <c r="K261" t="str" cm="1">
        <f t="array" ref="K26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262" spans="1:11" x14ac:dyDescent="0.35">
      <c r="A262" s="16" t="s">
        <v>59</v>
      </c>
      <c r="B262" t="s">
        <v>37</v>
      </c>
      <c r="C262" t="s">
        <v>39</v>
      </c>
      <c r="D262" t="s">
        <v>26</v>
      </c>
      <c r="E262" t="s">
        <v>22</v>
      </c>
      <c r="F262" t="s">
        <v>15</v>
      </c>
      <c r="G262">
        <v>8</v>
      </c>
      <c r="H262">
        <v>8</v>
      </c>
      <c r="I262">
        <v>0</v>
      </c>
      <c r="J262">
        <v>4.3</v>
      </c>
      <c r="K262" t="str" cm="1">
        <f t="array" ref="K26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263" spans="1:11" x14ac:dyDescent="0.35">
      <c r="A263" s="16" t="s">
        <v>20</v>
      </c>
      <c r="B263" t="s">
        <v>56</v>
      </c>
      <c r="C263" t="s">
        <v>62</v>
      </c>
      <c r="D263" t="s">
        <v>26</v>
      </c>
      <c r="E263" t="s">
        <v>27</v>
      </c>
      <c r="F263" t="s">
        <v>15</v>
      </c>
      <c r="G263">
        <v>5</v>
      </c>
      <c r="H263">
        <v>4</v>
      </c>
      <c r="I263">
        <v>0</v>
      </c>
      <c r="J263">
        <v>1.3</v>
      </c>
      <c r="K263" t="str" cm="1">
        <f t="array" ref="K26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64" spans="1:11" x14ac:dyDescent="0.35">
      <c r="A264" s="16" t="s">
        <v>61</v>
      </c>
      <c r="B264" t="s">
        <v>37</v>
      </c>
      <c r="C264" t="s">
        <v>39</v>
      </c>
      <c r="D264" t="s">
        <v>13</v>
      </c>
      <c r="E264" t="s">
        <v>22</v>
      </c>
      <c r="F264" t="s">
        <v>15</v>
      </c>
      <c r="G264">
        <v>1</v>
      </c>
      <c r="H264">
        <v>1</v>
      </c>
      <c r="I264">
        <v>0</v>
      </c>
      <c r="J264">
        <v>2.4</v>
      </c>
      <c r="K264" t="str" cm="1">
        <f t="array" ref="K26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265" spans="1:11" x14ac:dyDescent="0.35">
      <c r="A265" s="16" t="s">
        <v>33</v>
      </c>
      <c r="B265" t="s">
        <v>41</v>
      </c>
      <c r="C265" t="s">
        <v>42</v>
      </c>
      <c r="D265" t="s">
        <v>40</v>
      </c>
      <c r="E265" t="s">
        <v>22</v>
      </c>
      <c r="F265" t="s">
        <v>19</v>
      </c>
      <c r="G265">
        <v>5</v>
      </c>
      <c r="H265">
        <v>3</v>
      </c>
      <c r="I265">
        <v>0</v>
      </c>
      <c r="J265">
        <v>2.8</v>
      </c>
      <c r="K265" t="str" cm="1">
        <f t="array" ref="K26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266" spans="1:11" x14ac:dyDescent="0.35">
      <c r="A266" s="16" t="s">
        <v>31</v>
      </c>
      <c r="B266" t="s">
        <v>41</v>
      </c>
      <c r="C266" t="s">
        <v>44</v>
      </c>
      <c r="D266" t="s">
        <v>32</v>
      </c>
      <c r="E266" t="s">
        <v>30</v>
      </c>
      <c r="F266" t="s">
        <v>19</v>
      </c>
      <c r="G266">
        <v>3</v>
      </c>
      <c r="H266">
        <v>3</v>
      </c>
      <c r="I266">
        <v>1</v>
      </c>
      <c r="J266">
        <v>2.6</v>
      </c>
      <c r="K266" t="str" cm="1">
        <f t="array" ref="K26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267" spans="1:11" x14ac:dyDescent="0.35">
      <c r="A267" s="16" t="s">
        <v>43</v>
      </c>
      <c r="B267" t="s">
        <v>41</v>
      </c>
      <c r="C267" t="s">
        <v>44</v>
      </c>
      <c r="D267" t="s">
        <v>22</v>
      </c>
      <c r="E267" t="s">
        <v>18</v>
      </c>
      <c r="F267" t="s">
        <v>15</v>
      </c>
      <c r="G267">
        <v>2</v>
      </c>
      <c r="H267">
        <v>2</v>
      </c>
      <c r="I267">
        <v>0</v>
      </c>
      <c r="J267">
        <v>2.9</v>
      </c>
      <c r="K267" t="str" cm="1">
        <f t="array" ref="K26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268" spans="1:11" x14ac:dyDescent="0.35">
      <c r="A268" s="16" t="s">
        <v>59</v>
      </c>
      <c r="B268" t="s">
        <v>46</v>
      </c>
      <c r="C268" t="s">
        <v>54</v>
      </c>
      <c r="D268" t="s">
        <v>26</v>
      </c>
      <c r="E268" t="s">
        <v>30</v>
      </c>
      <c r="F268" t="s">
        <v>15</v>
      </c>
      <c r="G268">
        <v>5</v>
      </c>
      <c r="H268">
        <v>4</v>
      </c>
      <c r="I268">
        <v>0</v>
      </c>
      <c r="J268">
        <v>1.5</v>
      </c>
      <c r="K268" t="str" cm="1">
        <f t="array" ref="K26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269" spans="1:11" x14ac:dyDescent="0.35">
      <c r="A269" s="16" t="s">
        <v>55</v>
      </c>
      <c r="B269" t="s">
        <v>24</v>
      </c>
      <c r="C269" t="s">
        <v>25</v>
      </c>
      <c r="D269" t="s">
        <v>26</v>
      </c>
      <c r="E269" t="s">
        <v>18</v>
      </c>
      <c r="F269" t="s">
        <v>19</v>
      </c>
      <c r="G269">
        <v>5</v>
      </c>
      <c r="H269">
        <v>4</v>
      </c>
      <c r="I269">
        <v>0</v>
      </c>
      <c r="J269">
        <v>1.5</v>
      </c>
      <c r="K269" t="str" cm="1">
        <f t="array" ref="K26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270" spans="1:11" x14ac:dyDescent="0.35">
      <c r="A270" s="16" t="s">
        <v>31</v>
      </c>
      <c r="B270" t="s">
        <v>24</v>
      </c>
      <c r="C270" t="s">
        <v>25</v>
      </c>
      <c r="D270" t="s">
        <v>40</v>
      </c>
      <c r="E270" t="s">
        <v>14</v>
      </c>
      <c r="F270" t="s">
        <v>19</v>
      </c>
      <c r="G270">
        <v>3</v>
      </c>
      <c r="H270">
        <v>3</v>
      </c>
      <c r="I270">
        <v>0</v>
      </c>
      <c r="J270">
        <v>3.1</v>
      </c>
      <c r="K270" t="str" cm="1">
        <f t="array" ref="K27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271" spans="1:11" x14ac:dyDescent="0.35">
      <c r="A271" s="16" t="s">
        <v>36</v>
      </c>
      <c r="B271" t="s">
        <v>16</v>
      </c>
      <c r="C271" t="s">
        <v>60</v>
      </c>
      <c r="D271" t="s">
        <v>13</v>
      </c>
      <c r="E271" t="s">
        <v>27</v>
      </c>
      <c r="F271" t="s">
        <v>15</v>
      </c>
      <c r="G271">
        <v>5</v>
      </c>
      <c r="H271">
        <v>5</v>
      </c>
      <c r="I271">
        <v>2</v>
      </c>
      <c r="J271">
        <v>3.5</v>
      </c>
      <c r="K271" t="str" cm="1">
        <f t="array" ref="K27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272" spans="1:11" x14ac:dyDescent="0.35">
      <c r="A272" s="16" t="s">
        <v>20</v>
      </c>
      <c r="B272" t="s">
        <v>37</v>
      </c>
      <c r="C272" t="s">
        <v>38</v>
      </c>
      <c r="D272" t="s">
        <v>40</v>
      </c>
      <c r="E272" t="s">
        <v>53</v>
      </c>
      <c r="F272" t="s">
        <v>19</v>
      </c>
      <c r="G272">
        <v>6</v>
      </c>
      <c r="H272">
        <v>6</v>
      </c>
      <c r="I272">
        <v>0</v>
      </c>
      <c r="J272">
        <v>3.3</v>
      </c>
      <c r="K272" t="str" cm="1">
        <f t="array" ref="K27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73" spans="1:11" x14ac:dyDescent="0.35">
      <c r="A273" s="16" t="s">
        <v>10</v>
      </c>
      <c r="B273" t="s">
        <v>56</v>
      </c>
      <c r="C273" t="s">
        <v>57</v>
      </c>
      <c r="D273" t="s">
        <v>13</v>
      </c>
      <c r="E273" t="s">
        <v>22</v>
      </c>
      <c r="F273" t="s">
        <v>15</v>
      </c>
      <c r="G273">
        <v>4</v>
      </c>
      <c r="H273">
        <v>3</v>
      </c>
      <c r="I273">
        <v>0</v>
      </c>
      <c r="J273">
        <v>3.5</v>
      </c>
      <c r="K273" t="str" cm="1">
        <f t="array" ref="K27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274" spans="1:11" x14ac:dyDescent="0.35">
      <c r="A274" s="16" t="s">
        <v>61</v>
      </c>
      <c r="B274" t="s">
        <v>46</v>
      </c>
      <c r="C274" t="s">
        <v>54</v>
      </c>
      <c r="D274" t="s">
        <v>13</v>
      </c>
      <c r="E274" t="s">
        <v>22</v>
      </c>
      <c r="F274" t="s">
        <v>19</v>
      </c>
      <c r="G274">
        <v>8</v>
      </c>
      <c r="H274">
        <v>8</v>
      </c>
      <c r="I274">
        <v>0</v>
      </c>
      <c r="J274">
        <v>2.4</v>
      </c>
      <c r="K274" t="str" cm="1">
        <f t="array" ref="K27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275" spans="1:11" x14ac:dyDescent="0.35">
      <c r="A275" s="16" t="s">
        <v>10</v>
      </c>
      <c r="B275" t="s">
        <v>34</v>
      </c>
      <c r="C275" t="s">
        <v>51</v>
      </c>
      <c r="D275" t="s">
        <v>40</v>
      </c>
      <c r="E275" t="s">
        <v>53</v>
      </c>
      <c r="F275" t="s">
        <v>15</v>
      </c>
      <c r="G275">
        <v>10</v>
      </c>
      <c r="H275">
        <v>10</v>
      </c>
      <c r="I275">
        <v>1</v>
      </c>
      <c r="J275">
        <v>4.4000000000000004</v>
      </c>
      <c r="K275" t="str" cm="1">
        <f t="array" ref="K27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276" spans="1:11" x14ac:dyDescent="0.35">
      <c r="A276" s="16" t="s">
        <v>10</v>
      </c>
      <c r="B276" t="s">
        <v>34</v>
      </c>
      <c r="C276" t="s">
        <v>35</v>
      </c>
      <c r="D276" t="s">
        <v>21</v>
      </c>
      <c r="E276" t="s">
        <v>27</v>
      </c>
      <c r="F276" t="s">
        <v>19</v>
      </c>
      <c r="G276">
        <v>6</v>
      </c>
      <c r="H276">
        <v>5</v>
      </c>
      <c r="I276">
        <v>1</v>
      </c>
      <c r="J276">
        <v>3</v>
      </c>
      <c r="K276" t="str" cm="1">
        <f t="array" ref="K27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277" spans="1:11" x14ac:dyDescent="0.35">
      <c r="A277" s="16" t="s">
        <v>36</v>
      </c>
      <c r="B277" t="s">
        <v>28</v>
      </c>
      <c r="C277" t="s">
        <v>29</v>
      </c>
      <c r="D277" t="s">
        <v>26</v>
      </c>
      <c r="E277" t="s">
        <v>53</v>
      </c>
      <c r="F277" t="s">
        <v>19</v>
      </c>
      <c r="G277">
        <v>5</v>
      </c>
      <c r="H277">
        <v>4</v>
      </c>
      <c r="I277">
        <v>0</v>
      </c>
      <c r="J277">
        <v>2.6</v>
      </c>
      <c r="K277" t="str" cm="1">
        <f t="array" ref="K27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278" spans="1:11" x14ac:dyDescent="0.35">
      <c r="A278" s="16" t="s">
        <v>10</v>
      </c>
      <c r="B278" t="s">
        <v>11</v>
      </c>
      <c r="C278" t="s">
        <v>52</v>
      </c>
      <c r="D278" t="s">
        <v>21</v>
      </c>
      <c r="E278" t="s">
        <v>18</v>
      </c>
      <c r="F278" t="s">
        <v>15</v>
      </c>
      <c r="G278">
        <v>2</v>
      </c>
      <c r="H278">
        <v>0</v>
      </c>
      <c r="I278">
        <v>0</v>
      </c>
      <c r="J278">
        <v>2.5</v>
      </c>
      <c r="K278" t="str" cm="1">
        <f t="array" ref="K27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279" spans="1:11" x14ac:dyDescent="0.35">
      <c r="A279" s="16" t="s">
        <v>33</v>
      </c>
      <c r="B279" t="s">
        <v>11</v>
      </c>
      <c r="C279" t="s">
        <v>52</v>
      </c>
      <c r="D279" t="s">
        <v>40</v>
      </c>
      <c r="E279" t="s">
        <v>27</v>
      </c>
      <c r="F279" t="s">
        <v>15</v>
      </c>
      <c r="G279">
        <v>3</v>
      </c>
      <c r="H279">
        <v>3</v>
      </c>
      <c r="I279">
        <v>0</v>
      </c>
      <c r="J279">
        <v>3.9</v>
      </c>
      <c r="K279" t="str" cm="1">
        <f t="array" ref="K27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280" spans="1:11" x14ac:dyDescent="0.35">
      <c r="A280" s="16" t="s">
        <v>43</v>
      </c>
      <c r="B280" t="s">
        <v>24</v>
      </c>
      <c r="C280" t="s">
        <v>64</v>
      </c>
      <c r="D280" t="s">
        <v>13</v>
      </c>
      <c r="E280" t="s">
        <v>53</v>
      </c>
      <c r="F280" t="s">
        <v>15</v>
      </c>
      <c r="G280">
        <v>7</v>
      </c>
      <c r="H280">
        <v>7</v>
      </c>
      <c r="I280">
        <v>0</v>
      </c>
      <c r="J280">
        <v>2.8</v>
      </c>
      <c r="K280" t="str" cm="1">
        <f t="array" ref="K28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281" spans="1:11" x14ac:dyDescent="0.35">
      <c r="A281" s="16" t="s">
        <v>20</v>
      </c>
      <c r="B281" t="s">
        <v>48</v>
      </c>
      <c r="C281" t="s">
        <v>49</v>
      </c>
      <c r="D281" t="s">
        <v>22</v>
      </c>
      <c r="E281" t="s">
        <v>30</v>
      </c>
      <c r="F281" t="s">
        <v>15</v>
      </c>
      <c r="G281">
        <v>3</v>
      </c>
      <c r="H281">
        <v>2</v>
      </c>
      <c r="I281">
        <v>0</v>
      </c>
      <c r="J281">
        <v>2.5</v>
      </c>
      <c r="K281" t="str" cm="1">
        <f t="array" ref="K28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82" spans="1:11" x14ac:dyDescent="0.35">
      <c r="A282" s="16" t="s">
        <v>10</v>
      </c>
      <c r="B282" t="s">
        <v>11</v>
      </c>
      <c r="C282" t="s">
        <v>12</v>
      </c>
      <c r="D282" t="s">
        <v>21</v>
      </c>
      <c r="E282" t="s">
        <v>53</v>
      </c>
      <c r="F282" t="s">
        <v>15</v>
      </c>
      <c r="G282">
        <v>4</v>
      </c>
      <c r="H282">
        <v>4</v>
      </c>
      <c r="I282">
        <v>0</v>
      </c>
      <c r="J282">
        <v>1.4</v>
      </c>
      <c r="K282" t="str" cm="1">
        <f t="array" ref="K28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283" spans="1:11" x14ac:dyDescent="0.35">
      <c r="A283" s="16" t="s">
        <v>55</v>
      </c>
      <c r="B283" t="s">
        <v>34</v>
      </c>
      <c r="C283" t="s">
        <v>51</v>
      </c>
      <c r="D283" t="s">
        <v>22</v>
      </c>
      <c r="E283" t="s">
        <v>22</v>
      </c>
      <c r="F283" t="s">
        <v>15</v>
      </c>
      <c r="G283">
        <v>6</v>
      </c>
      <c r="H283">
        <v>6</v>
      </c>
      <c r="I283">
        <v>0</v>
      </c>
      <c r="J283">
        <v>2.2000000000000002</v>
      </c>
      <c r="K283" t="str" cm="1">
        <f t="array" ref="K28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284" spans="1:11" x14ac:dyDescent="0.35">
      <c r="A284" s="16" t="s">
        <v>10</v>
      </c>
      <c r="B284" t="s">
        <v>28</v>
      </c>
      <c r="C284" t="s">
        <v>58</v>
      </c>
      <c r="D284" t="s">
        <v>26</v>
      </c>
      <c r="E284" t="s">
        <v>30</v>
      </c>
      <c r="F284" t="s">
        <v>19</v>
      </c>
      <c r="G284">
        <v>7</v>
      </c>
      <c r="H284">
        <v>7</v>
      </c>
      <c r="I284">
        <v>0</v>
      </c>
      <c r="J284">
        <v>2.4</v>
      </c>
      <c r="K284" t="str" cm="1">
        <f t="array" ref="K28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285" spans="1:11" x14ac:dyDescent="0.35">
      <c r="A285" s="16" t="s">
        <v>33</v>
      </c>
      <c r="B285" t="s">
        <v>41</v>
      </c>
      <c r="C285" t="s">
        <v>44</v>
      </c>
      <c r="D285" t="s">
        <v>22</v>
      </c>
      <c r="E285" t="s">
        <v>14</v>
      </c>
      <c r="F285" t="s">
        <v>15</v>
      </c>
      <c r="G285">
        <v>7</v>
      </c>
      <c r="H285">
        <v>6</v>
      </c>
      <c r="I285">
        <v>0</v>
      </c>
      <c r="J285">
        <v>3.2</v>
      </c>
      <c r="K285" t="str" cm="1">
        <f t="array" ref="K28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286" spans="1:11" x14ac:dyDescent="0.35">
      <c r="A286" s="16" t="s">
        <v>45</v>
      </c>
      <c r="B286" t="s">
        <v>46</v>
      </c>
      <c r="C286" t="s">
        <v>47</v>
      </c>
      <c r="D286" t="s">
        <v>26</v>
      </c>
      <c r="E286" t="s">
        <v>18</v>
      </c>
      <c r="F286" t="s">
        <v>15</v>
      </c>
      <c r="G286">
        <v>4</v>
      </c>
      <c r="H286">
        <v>3</v>
      </c>
      <c r="I286">
        <v>0</v>
      </c>
      <c r="J286">
        <v>3</v>
      </c>
      <c r="K286" t="str" cm="1">
        <f t="array" ref="K28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287" spans="1:11" x14ac:dyDescent="0.35">
      <c r="A287" s="16" t="s">
        <v>20</v>
      </c>
      <c r="B287" t="s">
        <v>48</v>
      </c>
      <c r="C287" t="s">
        <v>63</v>
      </c>
      <c r="D287" t="s">
        <v>13</v>
      </c>
      <c r="E287" t="s">
        <v>22</v>
      </c>
      <c r="F287" t="s">
        <v>15</v>
      </c>
      <c r="G287">
        <v>3</v>
      </c>
      <c r="H287">
        <v>2</v>
      </c>
      <c r="I287">
        <v>0</v>
      </c>
      <c r="J287">
        <v>3</v>
      </c>
      <c r="K287" t="str" cm="1">
        <f t="array" ref="K28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88" spans="1:11" x14ac:dyDescent="0.35">
      <c r="A288" s="16" t="s">
        <v>31</v>
      </c>
      <c r="B288" t="s">
        <v>37</v>
      </c>
      <c r="C288" t="s">
        <v>38</v>
      </c>
      <c r="D288" t="s">
        <v>13</v>
      </c>
      <c r="E288" t="s">
        <v>53</v>
      </c>
      <c r="F288" t="s">
        <v>19</v>
      </c>
      <c r="G288">
        <v>3</v>
      </c>
      <c r="H288">
        <v>3</v>
      </c>
      <c r="I288">
        <v>0</v>
      </c>
      <c r="J288">
        <v>2.5</v>
      </c>
      <c r="K288" t="str" cm="1">
        <f t="array" ref="K28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289" spans="1:11" x14ac:dyDescent="0.35">
      <c r="A289" s="16" t="s">
        <v>55</v>
      </c>
      <c r="B289" t="s">
        <v>37</v>
      </c>
      <c r="C289" t="s">
        <v>38</v>
      </c>
      <c r="D289" t="s">
        <v>21</v>
      </c>
      <c r="E289" t="s">
        <v>22</v>
      </c>
      <c r="F289" t="s">
        <v>19</v>
      </c>
      <c r="G289">
        <v>7</v>
      </c>
      <c r="H289">
        <v>6</v>
      </c>
      <c r="I289">
        <v>0</v>
      </c>
      <c r="J289">
        <v>3.9</v>
      </c>
      <c r="K289" t="str" cm="1">
        <f t="array" ref="K28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290" spans="1:11" x14ac:dyDescent="0.35">
      <c r="A290" s="16" t="s">
        <v>59</v>
      </c>
      <c r="B290" t="s">
        <v>24</v>
      </c>
      <c r="C290" t="s">
        <v>25</v>
      </c>
      <c r="D290" t="s">
        <v>21</v>
      </c>
      <c r="E290" t="s">
        <v>18</v>
      </c>
      <c r="F290" t="s">
        <v>15</v>
      </c>
      <c r="G290">
        <v>2</v>
      </c>
      <c r="H290">
        <v>2</v>
      </c>
      <c r="I290">
        <v>0</v>
      </c>
      <c r="J290">
        <v>3.2</v>
      </c>
      <c r="K290" t="str" cm="1">
        <f t="array" ref="K29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291" spans="1:11" x14ac:dyDescent="0.35">
      <c r="A291" s="16" t="s">
        <v>61</v>
      </c>
      <c r="B291" t="s">
        <v>24</v>
      </c>
      <c r="C291" t="s">
        <v>64</v>
      </c>
      <c r="D291" t="s">
        <v>40</v>
      </c>
      <c r="E291" t="s">
        <v>53</v>
      </c>
      <c r="F291" t="s">
        <v>19</v>
      </c>
      <c r="G291">
        <v>7</v>
      </c>
      <c r="H291">
        <v>7</v>
      </c>
      <c r="I291">
        <v>2</v>
      </c>
      <c r="J291">
        <v>3.1</v>
      </c>
      <c r="K291" t="str" cm="1">
        <f t="array" ref="K29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292" spans="1:11" x14ac:dyDescent="0.35">
      <c r="A292" s="16" t="s">
        <v>43</v>
      </c>
      <c r="B292" t="s">
        <v>16</v>
      </c>
      <c r="C292" t="s">
        <v>17</v>
      </c>
      <c r="D292" t="s">
        <v>26</v>
      </c>
      <c r="E292" t="s">
        <v>27</v>
      </c>
      <c r="F292" t="s">
        <v>15</v>
      </c>
      <c r="G292">
        <v>5</v>
      </c>
      <c r="H292">
        <v>5</v>
      </c>
      <c r="I292">
        <v>0</v>
      </c>
      <c r="J292">
        <v>4.2</v>
      </c>
      <c r="K292" t="str" cm="1">
        <f t="array" ref="K29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293" spans="1:11" x14ac:dyDescent="0.35">
      <c r="A293" s="16" t="s">
        <v>20</v>
      </c>
      <c r="B293" t="s">
        <v>48</v>
      </c>
      <c r="C293" t="s">
        <v>63</v>
      </c>
      <c r="D293" t="s">
        <v>13</v>
      </c>
      <c r="E293" t="s">
        <v>14</v>
      </c>
      <c r="F293" t="s">
        <v>19</v>
      </c>
      <c r="G293">
        <v>7</v>
      </c>
      <c r="H293">
        <v>7</v>
      </c>
      <c r="I293">
        <v>0</v>
      </c>
      <c r="J293">
        <v>2.7</v>
      </c>
      <c r="K293" t="str" cm="1">
        <f t="array" ref="K29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94" spans="1:11" x14ac:dyDescent="0.35">
      <c r="A294" s="16" t="s">
        <v>20</v>
      </c>
      <c r="B294" t="s">
        <v>41</v>
      </c>
      <c r="C294" t="s">
        <v>44</v>
      </c>
      <c r="D294" t="s">
        <v>26</v>
      </c>
      <c r="E294" t="s">
        <v>14</v>
      </c>
      <c r="F294" t="s">
        <v>19</v>
      </c>
      <c r="G294">
        <v>6</v>
      </c>
      <c r="H294">
        <v>4</v>
      </c>
      <c r="I294">
        <v>0</v>
      </c>
      <c r="J294">
        <v>2.5</v>
      </c>
      <c r="K294" t="str" cm="1">
        <f t="array" ref="K29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295" spans="1:11" x14ac:dyDescent="0.35">
      <c r="A295" s="16" t="s">
        <v>10</v>
      </c>
      <c r="B295" t="s">
        <v>48</v>
      </c>
      <c r="C295" t="s">
        <v>49</v>
      </c>
      <c r="D295" t="s">
        <v>40</v>
      </c>
      <c r="E295" t="s">
        <v>22</v>
      </c>
      <c r="F295" t="s">
        <v>19</v>
      </c>
      <c r="G295">
        <v>4</v>
      </c>
      <c r="H295">
        <v>4</v>
      </c>
      <c r="I295">
        <v>0</v>
      </c>
      <c r="J295">
        <v>2.8</v>
      </c>
      <c r="K295" t="str" cm="1">
        <f t="array" ref="K29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296" spans="1:11" x14ac:dyDescent="0.35">
      <c r="A296" s="16" t="s">
        <v>50</v>
      </c>
      <c r="B296" t="s">
        <v>56</v>
      </c>
      <c r="C296" t="s">
        <v>62</v>
      </c>
      <c r="D296" t="s">
        <v>21</v>
      </c>
      <c r="E296" t="s">
        <v>18</v>
      </c>
      <c r="F296" t="s">
        <v>15</v>
      </c>
      <c r="G296">
        <v>1</v>
      </c>
      <c r="H296">
        <v>1</v>
      </c>
      <c r="I296">
        <v>0</v>
      </c>
      <c r="J296">
        <v>3.8</v>
      </c>
      <c r="K296" t="str" cm="1">
        <f t="array" ref="K29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297" spans="1:11" x14ac:dyDescent="0.35">
      <c r="A297" s="16" t="s">
        <v>50</v>
      </c>
      <c r="B297" t="s">
        <v>37</v>
      </c>
      <c r="C297" t="s">
        <v>38</v>
      </c>
      <c r="D297" t="s">
        <v>40</v>
      </c>
      <c r="E297" t="s">
        <v>22</v>
      </c>
      <c r="F297" t="s">
        <v>15</v>
      </c>
      <c r="G297">
        <v>1</v>
      </c>
      <c r="H297">
        <v>1</v>
      </c>
      <c r="I297">
        <v>1</v>
      </c>
      <c r="J297">
        <v>0.6</v>
      </c>
      <c r="K297" t="str" cm="1">
        <f t="array" ref="K29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298" spans="1:11" x14ac:dyDescent="0.35">
      <c r="A298" s="16" t="s">
        <v>50</v>
      </c>
      <c r="B298" t="s">
        <v>46</v>
      </c>
      <c r="C298" t="s">
        <v>54</v>
      </c>
      <c r="D298" t="s">
        <v>22</v>
      </c>
      <c r="E298" t="s">
        <v>14</v>
      </c>
      <c r="F298" t="s">
        <v>19</v>
      </c>
      <c r="G298">
        <v>7</v>
      </c>
      <c r="H298">
        <v>7</v>
      </c>
      <c r="I298">
        <v>1</v>
      </c>
      <c r="J298">
        <v>2.8</v>
      </c>
      <c r="K298" t="str" cm="1">
        <f t="array" ref="K29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299" spans="1:11" x14ac:dyDescent="0.35">
      <c r="A299" s="16" t="s">
        <v>33</v>
      </c>
      <c r="B299" t="s">
        <v>24</v>
      </c>
      <c r="C299" t="s">
        <v>25</v>
      </c>
      <c r="D299" t="s">
        <v>13</v>
      </c>
      <c r="E299" t="s">
        <v>53</v>
      </c>
      <c r="F299" t="s">
        <v>15</v>
      </c>
      <c r="G299">
        <v>1</v>
      </c>
      <c r="H299">
        <v>1</v>
      </c>
      <c r="I299">
        <v>0</v>
      </c>
      <c r="J299">
        <v>3.2</v>
      </c>
      <c r="K299" t="str" cm="1">
        <f t="array" ref="K29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300" spans="1:11" x14ac:dyDescent="0.35">
      <c r="A300" s="16" t="s">
        <v>33</v>
      </c>
      <c r="B300" t="s">
        <v>16</v>
      </c>
      <c r="C300" t="s">
        <v>17</v>
      </c>
      <c r="D300" t="s">
        <v>13</v>
      </c>
      <c r="E300" t="s">
        <v>18</v>
      </c>
      <c r="F300" t="s">
        <v>19</v>
      </c>
      <c r="G300">
        <v>3</v>
      </c>
      <c r="H300">
        <v>3</v>
      </c>
      <c r="I300">
        <v>0</v>
      </c>
      <c r="J300">
        <v>3.7</v>
      </c>
      <c r="K300" t="str" cm="1">
        <f t="array" ref="K30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301" spans="1:11" x14ac:dyDescent="0.35">
      <c r="A301" s="16" t="s">
        <v>55</v>
      </c>
      <c r="B301" t="s">
        <v>46</v>
      </c>
      <c r="C301" t="s">
        <v>47</v>
      </c>
      <c r="D301" t="s">
        <v>22</v>
      </c>
      <c r="E301" t="s">
        <v>22</v>
      </c>
      <c r="F301" t="s">
        <v>19</v>
      </c>
      <c r="G301">
        <v>3</v>
      </c>
      <c r="H301">
        <v>3</v>
      </c>
      <c r="I301">
        <v>0</v>
      </c>
      <c r="J301">
        <v>3.7</v>
      </c>
      <c r="K301" t="str" cm="1">
        <f t="array" ref="K30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302" spans="1:11" x14ac:dyDescent="0.35">
      <c r="A302" s="16" t="s">
        <v>45</v>
      </c>
      <c r="B302" t="s">
        <v>37</v>
      </c>
      <c r="C302" t="s">
        <v>39</v>
      </c>
      <c r="D302" t="s">
        <v>21</v>
      </c>
      <c r="E302" t="s">
        <v>27</v>
      </c>
      <c r="F302" t="s">
        <v>19</v>
      </c>
      <c r="G302">
        <v>8</v>
      </c>
      <c r="H302">
        <v>5</v>
      </c>
      <c r="I302">
        <v>0</v>
      </c>
      <c r="J302">
        <v>1.7</v>
      </c>
      <c r="K302" t="str" cm="1">
        <f t="array" ref="K30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303" spans="1:11" x14ac:dyDescent="0.35">
      <c r="A303" s="16" t="s">
        <v>61</v>
      </c>
      <c r="B303" t="s">
        <v>24</v>
      </c>
      <c r="C303" t="s">
        <v>64</v>
      </c>
      <c r="D303" t="s">
        <v>13</v>
      </c>
      <c r="E303" t="s">
        <v>14</v>
      </c>
      <c r="F303" t="s">
        <v>15</v>
      </c>
      <c r="G303">
        <v>5</v>
      </c>
      <c r="H303">
        <v>4</v>
      </c>
      <c r="I303">
        <v>0</v>
      </c>
      <c r="J303">
        <v>2.4</v>
      </c>
      <c r="K303" t="str" cm="1">
        <f t="array" ref="K30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304" spans="1:11" x14ac:dyDescent="0.35">
      <c r="A304" s="16" t="s">
        <v>45</v>
      </c>
      <c r="B304" t="s">
        <v>48</v>
      </c>
      <c r="C304" t="s">
        <v>49</v>
      </c>
      <c r="D304" t="s">
        <v>22</v>
      </c>
      <c r="E304" t="s">
        <v>18</v>
      </c>
      <c r="F304" t="s">
        <v>19</v>
      </c>
      <c r="G304">
        <v>5</v>
      </c>
      <c r="H304">
        <v>5</v>
      </c>
      <c r="I304">
        <v>1</v>
      </c>
      <c r="J304">
        <v>2.7</v>
      </c>
      <c r="K304" t="str" cm="1">
        <f t="array" ref="K30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305" spans="1:11" x14ac:dyDescent="0.35">
      <c r="A305" s="16" t="s">
        <v>43</v>
      </c>
      <c r="B305" t="s">
        <v>48</v>
      </c>
      <c r="C305" t="s">
        <v>63</v>
      </c>
      <c r="D305" t="s">
        <v>22</v>
      </c>
      <c r="E305" t="s">
        <v>14</v>
      </c>
      <c r="F305" t="s">
        <v>15</v>
      </c>
      <c r="G305">
        <v>1</v>
      </c>
      <c r="H305">
        <v>1</v>
      </c>
      <c r="I305">
        <v>0</v>
      </c>
      <c r="J305">
        <v>3.2</v>
      </c>
      <c r="K305" t="str" cm="1">
        <f t="array" ref="K30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306" spans="1:11" x14ac:dyDescent="0.35">
      <c r="A306" s="16" t="s">
        <v>10</v>
      </c>
      <c r="B306" t="s">
        <v>46</v>
      </c>
      <c r="C306" t="s">
        <v>54</v>
      </c>
      <c r="D306" t="s">
        <v>22</v>
      </c>
      <c r="E306" t="s">
        <v>27</v>
      </c>
      <c r="F306" t="s">
        <v>15</v>
      </c>
      <c r="G306">
        <v>5</v>
      </c>
      <c r="H306">
        <v>5</v>
      </c>
      <c r="I306">
        <v>0</v>
      </c>
      <c r="J306">
        <v>2.8</v>
      </c>
      <c r="K306" t="str" cm="1">
        <f t="array" ref="K30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307" spans="1:11" x14ac:dyDescent="0.35">
      <c r="A307" s="16" t="s">
        <v>55</v>
      </c>
      <c r="B307" t="s">
        <v>37</v>
      </c>
      <c r="C307" t="s">
        <v>39</v>
      </c>
      <c r="D307" t="s">
        <v>40</v>
      </c>
      <c r="E307" t="s">
        <v>22</v>
      </c>
      <c r="F307" t="s">
        <v>15</v>
      </c>
      <c r="G307">
        <v>3</v>
      </c>
      <c r="H307">
        <v>3</v>
      </c>
      <c r="I307">
        <v>0</v>
      </c>
      <c r="J307">
        <v>4.4000000000000004</v>
      </c>
      <c r="K307" t="str" cm="1">
        <f t="array" ref="K30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308" spans="1:11" x14ac:dyDescent="0.35">
      <c r="A308" s="16" t="s">
        <v>23</v>
      </c>
      <c r="B308" t="s">
        <v>16</v>
      </c>
      <c r="C308" t="s">
        <v>60</v>
      </c>
      <c r="D308" t="s">
        <v>21</v>
      </c>
      <c r="E308" t="s">
        <v>22</v>
      </c>
      <c r="F308" t="s">
        <v>15</v>
      </c>
      <c r="G308">
        <v>6</v>
      </c>
      <c r="H308">
        <v>6</v>
      </c>
      <c r="I308">
        <v>1</v>
      </c>
      <c r="J308">
        <v>3</v>
      </c>
      <c r="K308" t="str" cm="1">
        <f t="array" ref="K30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309" spans="1:11" x14ac:dyDescent="0.35">
      <c r="A309" s="16" t="s">
        <v>50</v>
      </c>
      <c r="B309" t="s">
        <v>16</v>
      </c>
      <c r="C309" t="s">
        <v>17</v>
      </c>
      <c r="D309" t="s">
        <v>21</v>
      </c>
      <c r="E309" t="s">
        <v>30</v>
      </c>
      <c r="F309" t="s">
        <v>15</v>
      </c>
      <c r="G309">
        <v>3</v>
      </c>
      <c r="H309">
        <v>3</v>
      </c>
      <c r="I309">
        <v>1</v>
      </c>
      <c r="J309">
        <v>3.3</v>
      </c>
      <c r="K309" t="str" cm="1">
        <f t="array" ref="K30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310" spans="1:11" x14ac:dyDescent="0.35">
      <c r="A310" s="16" t="s">
        <v>20</v>
      </c>
      <c r="B310" t="s">
        <v>11</v>
      </c>
      <c r="C310" t="s">
        <v>12</v>
      </c>
      <c r="D310" t="s">
        <v>21</v>
      </c>
      <c r="E310" t="s">
        <v>18</v>
      </c>
      <c r="F310" t="s">
        <v>19</v>
      </c>
      <c r="G310">
        <v>9</v>
      </c>
      <c r="H310">
        <v>8</v>
      </c>
      <c r="I310">
        <v>0</v>
      </c>
      <c r="J310">
        <v>4.4000000000000004</v>
      </c>
      <c r="K310" t="str" cm="1">
        <f t="array" ref="K31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311" spans="1:11" x14ac:dyDescent="0.35">
      <c r="A311" s="16" t="s">
        <v>45</v>
      </c>
      <c r="B311" t="s">
        <v>48</v>
      </c>
      <c r="C311" t="s">
        <v>49</v>
      </c>
      <c r="D311" t="s">
        <v>32</v>
      </c>
      <c r="E311" t="s">
        <v>18</v>
      </c>
      <c r="F311" t="s">
        <v>19</v>
      </c>
      <c r="G311">
        <v>4</v>
      </c>
      <c r="H311">
        <v>4</v>
      </c>
      <c r="I311">
        <v>0</v>
      </c>
      <c r="J311">
        <v>4.2</v>
      </c>
      <c r="K311" t="str" cm="1">
        <f t="array" ref="K31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312" spans="1:11" x14ac:dyDescent="0.35">
      <c r="A312" s="16" t="s">
        <v>31</v>
      </c>
      <c r="B312" t="s">
        <v>28</v>
      </c>
      <c r="C312" t="s">
        <v>58</v>
      </c>
      <c r="D312" t="s">
        <v>32</v>
      </c>
      <c r="E312" t="s">
        <v>18</v>
      </c>
      <c r="F312" t="s">
        <v>15</v>
      </c>
      <c r="G312">
        <v>6</v>
      </c>
      <c r="H312">
        <v>6</v>
      </c>
      <c r="I312">
        <v>0</v>
      </c>
      <c r="J312">
        <v>3</v>
      </c>
      <c r="K312" t="str" cm="1">
        <f t="array" ref="K31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313" spans="1:11" x14ac:dyDescent="0.35">
      <c r="A313" s="16" t="s">
        <v>59</v>
      </c>
      <c r="B313" t="s">
        <v>34</v>
      </c>
      <c r="C313" t="s">
        <v>35</v>
      </c>
      <c r="D313" t="s">
        <v>13</v>
      </c>
      <c r="E313" t="s">
        <v>14</v>
      </c>
      <c r="F313" t="s">
        <v>19</v>
      </c>
      <c r="G313">
        <v>6</v>
      </c>
      <c r="H313">
        <v>5</v>
      </c>
      <c r="I313">
        <v>0</v>
      </c>
      <c r="J313">
        <v>2.5</v>
      </c>
      <c r="K313" t="str" cm="1">
        <f t="array" ref="K31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314" spans="1:11" x14ac:dyDescent="0.35">
      <c r="A314" s="16" t="s">
        <v>59</v>
      </c>
      <c r="B314" t="s">
        <v>34</v>
      </c>
      <c r="C314" t="s">
        <v>35</v>
      </c>
      <c r="D314" t="s">
        <v>26</v>
      </c>
      <c r="E314" t="s">
        <v>30</v>
      </c>
      <c r="F314" t="s">
        <v>15</v>
      </c>
      <c r="G314">
        <v>8</v>
      </c>
      <c r="H314">
        <v>8</v>
      </c>
      <c r="I314">
        <v>0</v>
      </c>
      <c r="J314">
        <v>2.2999999999999998</v>
      </c>
      <c r="K314" t="str" cm="1">
        <f t="array" ref="K31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315" spans="1:11" x14ac:dyDescent="0.35">
      <c r="A315" s="16" t="s">
        <v>23</v>
      </c>
      <c r="B315" t="s">
        <v>11</v>
      </c>
      <c r="C315" t="s">
        <v>52</v>
      </c>
      <c r="D315" t="s">
        <v>13</v>
      </c>
      <c r="E315" t="s">
        <v>18</v>
      </c>
      <c r="F315" t="s">
        <v>15</v>
      </c>
      <c r="G315">
        <v>4</v>
      </c>
      <c r="H315">
        <v>4</v>
      </c>
      <c r="I315">
        <v>0</v>
      </c>
      <c r="J315">
        <v>2.4</v>
      </c>
      <c r="K315" t="str" cm="1">
        <f t="array" ref="K31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316" spans="1:11" x14ac:dyDescent="0.35">
      <c r="A316" s="16" t="s">
        <v>36</v>
      </c>
      <c r="B316" t="s">
        <v>48</v>
      </c>
      <c r="C316" t="s">
        <v>49</v>
      </c>
      <c r="D316" t="s">
        <v>40</v>
      </c>
      <c r="E316" t="s">
        <v>27</v>
      </c>
      <c r="F316" t="s">
        <v>15</v>
      </c>
      <c r="G316">
        <v>8</v>
      </c>
      <c r="H316">
        <v>8</v>
      </c>
      <c r="I316">
        <v>1</v>
      </c>
      <c r="J316">
        <v>4.4000000000000004</v>
      </c>
      <c r="K316" t="str" cm="1">
        <f t="array" ref="K31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317" spans="1:11" x14ac:dyDescent="0.35">
      <c r="A317" s="16" t="s">
        <v>55</v>
      </c>
      <c r="B317" t="s">
        <v>34</v>
      </c>
      <c r="C317" t="s">
        <v>51</v>
      </c>
      <c r="D317" t="s">
        <v>32</v>
      </c>
      <c r="E317" t="s">
        <v>18</v>
      </c>
      <c r="F317" t="s">
        <v>15</v>
      </c>
      <c r="G317">
        <v>4</v>
      </c>
      <c r="H317">
        <v>4</v>
      </c>
      <c r="I317">
        <v>1</v>
      </c>
      <c r="J317">
        <v>2.6</v>
      </c>
      <c r="K317" t="str" cm="1">
        <f t="array" ref="K31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318" spans="1:11" x14ac:dyDescent="0.35">
      <c r="A318" s="16" t="s">
        <v>50</v>
      </c>
      <c r="B318" t="s">
        <v>56</v>
      </c>
      <c r="C318" t="s">
        <v>62</v>
      </c>
      <c r="D318" t="s">
        <v>13</v>
      </c>
      <c r="E318" t="s">
        <v>30</v>
      </c>
      <c r="F318" t="s">
        <v>15</v>
      </c>
      <c r="G318">
        <v>2</v>
      </c>
      <c r="H318">
        <v>1</v>
      </c>
      <c r="I318">
        <v>0</v>
      </c>
      <c r="J318">
        <v>4.3</v>
      </c>
      <c r="K318" t="str" cm="1">
        <f t="array" ref="K31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319" spans="1:11" x14ac:dyDescent="0.35">
      <c r="A319" s="16" t="s">
        <v>20</v>
      </c>
      <c r="B319" t="s">
        <v>28</v>
      </c>
      <c r="C319" t="s">
        <v>58</v>
      </c>
      <c r="D319" t="s">
        <v>13</v>
      </c>
      <c r="E319" t="s">
        <v>53</v>
      </c>
      <c r="F319" t="s">
        <v>15</v>
      </c>
      <c r="G319">
        <v>8</v>
      </c>
      <c r="H319">
        <v>8</v>
      </c>
      <c r="I319">
        <v>0</v>
      </c>
      <c r="J319">
        <v>2.6</v>
      </c>
      <c r="K319" t="str" cm="1">
        <f t="array" ref="K31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320" spans="1:11" x14ac:dyDescent="0.35">
      <c r="A320" s="16" t="s">
        <v>23</v>
      </c>
      <c r="B320" t="s">
        <v>24</v>
      </c>
      <c r="C320" t="s">
        <v>25</v>
      </c>
      <c r="D320" t="s">
        <v>22</v>
      </c>
      <c r="E320" t="s">
        <v>53</v>
      </c>
      <c r="F320" t="s">
        <v>15</v>
      </c>
      <c r="G320">
        <v>2</v>
      </c>
      <c r="H320">
        <v>2</v>
      </c>
      <c r="I320">
        <v>0</v>
      </c>
      <c r="J320">
        <v>2.2999999999999998</v>
      </c>
      <c r="K320" t="str" cm="1">
        <f t="array" ref="K32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321" spans="1:11" x14ac:dyDescent="0.35">
      <c r="A321" s="16" t="s">
        <v>61</v>
      </c>
      <c r="B321" t="s">
        <v>28</v>
      </c>
      <c r="C321" t="s">
        <v>58</v>
      </c>
      <c r="D321" t="s">
        <v>21</v>
      </c>
      <c r="E321" t="s">
        <v>53</v>
      </c>
      <c r="F321" t="s">
        <v>19</v>
      </c>
      <c r="G321">
        <v>2</v>
      </c>
      <c r="H321">
        <v>2</v>
      </c>
      <c r="I321">
        <v>1</v>
      </c>
      <c r="J321">
        <v>2</v>
      </c>
      <c r="K321" t="str" cm="1">
        <f t="array" ref="K32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322" spans="1:11" x14ac:dyDescent="0.35">
      <c r="A322" s="16" t="s">
        <v>20</v>
      </c>
      <c r="B322" t="s">
        <v>56</v>
      </c>
      <c r="C322" t="s">
        <v>57</v>
      </c>
      <c r="D322" t="s">
        <v>26</v>
      </c>
      <c r="E322" t="s">
        <v>14</v>
      </c>
      <c r="F322" t="s">
        <v>15</v>
      </c>
      <c r="G322">
        <v>6</v>
      </c>
      <c r="H322">
        <v>5</v>
      </c>
      <c r="I322">
        <v>1</v>
      </c>
      <c r="J322">
        <v>2.5</v>
      </c>
      <c r="K322" t="str" cm="1">
        <f t="array" ref="K32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323" spans="1:11" x14ac:dyDescent="0.35">
      <c r="A323" s="16" t="s">
        <v>10</v>
      </c>
      <c r="B323" t="s">
        <v>37</v>
      </c>
      <c r="C323" t="s">
        <v>39</v>
      </c>
      <c r="D323" t="s">
        <v>40</v>
      </c>
      <c r="E323" t="s">
        <v>27</v>
      </c>
      <c r="F323" t="s">
        <v>15</v>
      </c>
      <c r="G323">
        <v>7</v>
      </c>
      <c r="H323">
        <v>6</v>
      </c>
      <c r="I323">
        <v>1</v>
      </c>
      <c r="J323">
        <v>1.9</v>
      </c>
      <c r="K323" t="str" cm="1">
        <f t="array" ref="K32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324" spans="1:11" x14ac:dyDescent="0.35">
      <c r="A324" s="16" t="s">
        <v>43</v>
      </c>
      <c r="B324" t="s">
        <v>11</v>
      </c>
      <c r="C324" t="s">
        <v>12</v>
      </c>
      <c r="D324" t="s">
        <v>21</v>
      </c>
      <c r="E324" t="s">
        <v>18</v>
      </c>
      <c r="F324" t="s">
        <v>15</v>
      </c>
      <c r="G324">
        <v>4</v>
      </c>
      <c r="H324">
        <v>4</v>
      </c>
      <c r="I324">
        <v>0</v>
      </c>
      <c r="J324">
        <v>4.0999999999999996</v>
      </c>
      <c r="K324" t="str" cm="1">
        <f t="array" ref="K32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325" spans="1:11" x14ac:dyDescent="0.35">
      <c r="A325" s="16" t="s">
        <v>33</v>
      </c>
      <c r="B325" t="s">
        <v>56</v>
      </c>
      <c r="C325" t="s">
        <v>57</v>
      </c>
      <c r="D325" t="s">
        <v>40</v>
      </c>
      <c r="E325" t="s">
        <v>22</v>
      </c>
      <c r="F325" t="s">
        <v>15</v>
      </c>
      <c r="G325">
        <v>6</v>
      </c>
      <c r="H325">
        <v>5</v>
      </c>
      <c r="I325">
        <v>0</v>
      </c>
      <c r="J325">
        <v>2</v>
      </c>
      <c r="K325" t="str" cm="1">
        <f t="array" ref="K32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326" spans="1:11" x14ac:dyDescent="0.35">
      <c r="A326" s="16" t="s">
        <v>55</v>
      </c>
      <c r="B326" t="s">
        <v>24</v>
      </c>
      <c r="C326" t="s">
        <v>25</v>
      </c>
      <c r="D326" t="s">
        <v>32</v>
      </c>
      <c r="E326" t="s">
        <v>27</v>
      </c>
      <c r="F326" t="s">
        <v>19</v>
      </c>
      <c r="G326">
        <v>8</v>
      </c>
      <c r="H326">
        <v>8</v>
      </c>
      <c r="I326">
        <v>2</v>
      </c>
      <c r="J326">
        <v>3.4</v>
      </c>
      <c r="K326" t="str" cm="1">
        <f t="array" ref="K32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327" spans="1:11" x14ac:dyDescent="0.35">
      <c r="A327" s="16" t="s">
        <v>59</v>
      </c>
      <c r="B327" t="s">
        <v>24</v>
      </c>
      <c r="C327" t="s">
        <v>64</v>
      </c>
      <c r="D327" t="s">
        <v>22</v>
      </c>
      <c r="E327" t="s">
        <v>53</v>
      </c>
      <c r="F327" t="s">
        <v>19</v>
      </c>
      <c r="G327">
        <v>8</v>
      </c>
      <c r="H327">
        <v>8</v>
      </c>
      <c r="I327">
        <v>1</v>
      </c>
      <c r="J327">
        <v>3.8</v>
      </c>
      <c r="K327" t="str" cm="1">
        <f t="array" ref="K32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328" spans="1:11" x14ac:dyDescent="0.35">
      <c r="A328" s="16" t="s">
        <v>61</v>
      </c>
      <c r="B328" t="s">
        <v>46</v>
      </c>
      <c r="C328" t="s">
        <v>47</v>
      </c>
      <c r="D328" t="s">
        <v>26</v>
      </c>
      <c r="E328" t="s">
        <v>18</v>
      </c>
      <c r="F328" t="s">
        <v>15</v>
      </c>
      <c r="G328">
        <v>3</v>
      </c>
      <c r="H328">
        <v>3</v>
      </c>
      <c r="I328">
        <v>0</v>
      </c>
      <c r="J328">
        <v>3.2</v>
      </c>
      <c r="K328" t="str" cm="1">
        <f t="array" ref="K32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329" spans="1:11" x14ac:dyDescent="0.35">
      <c r="A329" s="16" t="s">
        <v>50</v>
      </c>
      <c r="B329" t="s">
        <v>46</v>
      </c>
      <c r="C329" t="s">
        <v>47</v>
      </c>
      <c r="D329" t="s">
        <v>26</v>
      </c>
      <c r="E329" t="s">
        <v>53</v>
      </c>
      <c r="F329" t="s">
        <v>15</v>
      </c>
      <c r="G329">
        <v>5</v>
      </c>
      <c r="H329">
        <v>4</v>
      </c>
      <c r="I329">
        <v>0</v>
      </c>
      <c r="J329">
        <v>4.3</v>
      </c>
      <c r="K329" t="str" cm="1">
        <f t="array" ref="K32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330" spans="1:11" x14ac:dyDescent="0.35">
      <c r="A330" s="16" t="s">
        <v>59</v>
      </c>
      <c r="B330" t="s">
        <v>24</v>
      </c>
      <c r="C330" t="s">
        <v>25</v>
      </c>
      <c r="D330" t="s">
        <v>22</v>
      </c>
      <c r="E330" t="s">
        <v>53</v>
      </c>
      <c r="F330" t="s">
        <v>15</v>
      </c>
      <c r="G330">
        <v>4</v>
      </c>
      <c r="H330">
        <v>4</v>
      </c>
      <c r="I330">
        <v>1</v>
      </c>
      <c r="J330">
        <v>4.0999999999999996</v>
      </c>
      <c r="K330" t="str" cm="1">
        <f t="array" ref="K33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331" spans="1:11" x14ac:dyDescent="0.35">
      <c r="A331" s="16" t="s">
        <v>10</v>
      </c>
      <c r="B331" t="s">
        <v>16</v>
      </c>
      <c r="C331" t="s">
        <v>17</v>
      </c>
      <c r="D331" t="s">
        <v>22</v>
      </c>
      <c r="E331" t="s">
        <v>53</v>
      </c>
      <c r="F331" t="s">
        <v>15</v>
      </c>
      <c r="G331">
        <v>5</v>
      </c>
      <c r="H331">
        <v>4</v>
      </c>
      <c r="I331">
        <v>0</v>
      </c>
      <c r="J331">
        <v>3.6</v>
      </c>
      <c r="K331" t="str" cm="1">
        <f t="array" ref="K33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332" spans="1:11" x14ac:dyDescent="0.35">
      <c r="A332" s="16" t="s">
        <v>31</v>
      </c>
      <c r="B332" t="s">
        <v>48</v>
      </c>
      <c r="C332" t="s">
        <v>63</v>
      </c>
      <c r="D332" t="s">
        <v>21</v>
      </c>
      <c r="E332" t="s">
        <v>18</v>
      </c>
      <c r="F332" t="s">
        <v>15</v>
      </c>
      <c r="G332">
        <v>5</v>
      </c>
      <c r="H332">
        <v>4</v>
      </c>
      <c r="I332">
        <v>0</v>
      </c>
      <c r="J332">
        <v>2.5</v>
      </c>
      <c r="K332" t="str" cm="1">
        <f t="array" ref="K33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333" spans="1:11" x14ac:dyDescent="0.35">
      <c r="A333" s="16" t="s">
        <v>45</v>
      </c>
      <c r="B333" t="s">
        <v>34</v>
      </c>
      <c r="C333" t="s">
        <v>35</v>
      </c>
      <c r="D333" t="s">
        <v>13</v>
      </c>
      <c r="E333" t="s">
        <v>27</v>
      </c>
      <c r="F333" t="s">
        <v>19</v>
      </c>
      <c r="G333">
        <v>3</v>
      </c>
      <c r="H333">
        <v>2</v>
      </c>
      <c r="I333">
        <v>0</v>
      </c>
      <c r="J333">
        <v>1.3</v>
      </c>
      <c r="K333" t="str" cm="1">
        <f t="array" ref="K33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334" spans="1:11" x14ac:dyDescent="0.35">
      <c r="A334" s="16" t="s">
        <v>59</v>
      </c>
      <c r="B334" t="s">
        <v>48</v>
      </c>
      <c r="C334" t="s">
        <v>49</v>
      </c>
      <c r="D334" t="s">
        <v>21</v>
      </c>
      <c r="E334" t="s">
        <v>27</v>
      </c>
      <c r="F334" t="s">
        <v>15</v>
      </c>
      <c r="G334">
        <v>5</v>
      </c>
      <c r="H334">
        <v>5</v>
      </c>
      <c r="I334">
        <v>0</v>
      </c>
      <c r="J334">
        <v>3.3</v>
      </c>
      <c r="K334" t="str" cm="1">
        <f t="array" ref="K33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335" spans="1:11" x14ac:dyDescent="0.35">
      <c r="A335" s="16" t="s">
        <v>59</v>
      </c>
      <c r="B335" t="s">
        <v>56</v>
      </c>
      <c r="C335" t="s">
        <v>62</v>
      </c>
      <c r="D335" t="s">
        <v>13</v>
      </c>
      <c r="E335" t="s">
        <v>53</v>
      </c>
      <c r="F335" t="s">
        <v>19</v>
      </c>
      <c r="G335">
        <v>2</v>
      </c>
      <c r="H335">
        <v>1</v>
      </c>
      <c r="I335">
        <v>0</v>
      </c>
      <c r="J335">
        <v>3</v>
      </c>
      <c r="K335" t="str" cm="1">
        <f t="array" ref="K33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336" spans="1:11" x14ac:dyDescent="0.35">
      <c r="A336" s="16" t="s">
        <v>23</v>
      </c>
      <c r="B336" t="s">
        <v>16</v>
      </c>
      <c r="C336" t="s">
        <v>60</v>
      </c>
      <c r="D336" t="s">
        <v>21</v>
      </c>
      <c r="E336" t="s">
        <v>27</v>
      </c>
      <c r="F336" t="s">
        <v>15</v>
      </c>
      <c r="G336">
        <v>6</v>
      </c>
      <c r="H336">
        <v>6</v>
      </c>
      <c r="I336">
        <v>0</v>
      </c>
      <c r="J336">
        <v>2.1</v>
      </c>
      <c r="K336" t="str" cm="1">
        <f t="array" ref="K33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337" spans="1:11" x14ac:dyDescent="0.35">
      <c r="A337" s="16" t="s">
        <v>20</v>
      </c>
      <c r="B337" t="s">
        <v>46</v>
      </c>
      <c r="C337" t="s">
        <v>47</v>
      </c>
      <c r="D337" t="s">
        <v>40</v>
      </c>
      <c r="E337" t="s">
        <v>22</v>
      </c>
      <c r="F337" t="s">
        <v>15</v>
      </c>
      <c r="G337">
        <v>4</v>
      </c>
      <c r="H337">
        <v>2</v>
      </c>
      <c r="I337">
        <v>0</v>
      </c>
      <c r="J337">
        <v>2</v>
      </c>
      <c r="K337" t="str" cm="1">
        <f t="array" ref="K33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338" spans="1:11" x14ac:dyDescent="0.35">
      <c r="A338" s="16" t="s">
        <v>43</v>
      </c>
      <c r="B338" t="s">
        <v>46</v>
      </c>
      <c r="C338" t="s">
        <v>54</v>
      </c>
      <c r="D338" t="s">
        <v>32</v>
      </c>
      <c r="E338" t="s">
        <v>18</v>
      </c>
      <c r="F338" t="s">
        <v>15</v>
      </c>
      <c r="G338">
        <v>4</v>
      </c>
      <c r="H338">
        <v>4</v>
      </c>
      <c r="I338">
        <v>1</v>
      </c>
      <c r="J338">
        <v>3.8</v>
      </c>
      <c r="K338" t="str" cm="1">
        <f t="array" ref="K33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339" spans="1:11" x14ac:dyDescent="0.35">
      <c r="A339" s="16" t="s">
        <v>20</v>
      </c>
      <c r="B339" t="s">
        <v>41</v>
      </c>
      <c r="C339" t="s">
        <v>44</v>
      </c>
      <c r="D339" t="s">
        <v>26</v>
      </c>
      <c r="E339" t="s">
        <v>14</v>
      </c>
      <c r="F339" t="s">
        <v>19</v>
      </c>
      <c r="G339">
        <v>7</v>
      </c>
      <c r="H339">
        <v>7</v>
      </c>
      <c r="I339">
        <v>1</v>
      </c>
      <c r="J339">
        <v>1.9</v>
      </c>
      <c r="K339" t="str" cm="1">
        <f t="array" ref="K33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340" spans="1:11" x14ac:dyDescent="0.35">
      <c r="A340" s="16" t="s">
        <v>45</v>
      </c>
      <c r="B340" t="s">
        <v>56</v>
      </c>
      <c r="C340" t="s">
        <v>62</v>
      </c>
      <c r="D340" t="s">
        <v>21</v>
      </c>
      <c r="E340" t="s">
        <v>22</v>
      </c>
      <c r="F340" t="s">
        <v>19</v>
      </c>
      <c r="G340">
        <v>7</v>
      </c>
      <c r="H340">
        <v>6</v>
      </c>
      <c r="I340">
        <v>0</v>
      </c>
      <c r="J340">
        <v>3.6</v>
      </c>
      <c r="K340" t="str" cm="1">
        <f t="array" ref="K34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341" spans="1:11" x14ac:dyDescent="0.35">
      <c r="A341" s="16" t="s">
        <v>10</v>
      </c>
      <c r="B341" t="s">
        <v>34</v>
      </c>
      <c r="C341" t="s">
        <v>51</v>
      </c>
      <c r="D341" t="s">
        <v>40</v>
      </c>
      <c r="E341" t="s">
        <v>53</v>
      </c>
      <c r="F341" t="s">
        <v>19</v>
      </c>
      <c r="G341">
        <v>5</v>
      </c>
      <c r="H341">
        <v>5</v>
      </c>
      <c r="I341">
        <v>0</v>
      </c>
      <c r="J341">
        <v>2.9</v>
      </c>
      <c r="K341" t="str" cm="1">
        <f t="array" ref="K34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342" spans="1:11" x14ac:dyDescent="0.35">
      <c r="A342" s="16" t="s">
        <v>55</v>
      </c>
      <c r="B342" t="s">
        <v>24</v>
      </c>
      <c r="C342" t="s">
        <v>25</v>
      </c>
      <c r="D342" t="s">
        <v>40</v>
      </c>
      <c r="E342" t="s">
        <v>22</v>
      </c>
      <c r="F342" t="s">
        <v>15</v>
      </c>
      <c r="G342">
        <v>5</v>
      </c>
      <c r="H342">
        <v>4</v>
      </c>
      <c r="I342">
        <v>0</v>
      </c>
      <c r="J342">
        <v>4.7</v>
      </c>
      <c r="K342" t="str" cm="1">
        <f t="array" ref="K34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343" spans="1:11" x14ac:dyDescent="0.35">
      <c r="A343" s="16" t="s">
        <v>59</v>
      </c>
      <c r="B343" t="s">
        <v>16</v>
      </c>
      <c r="C343" t="s">
        <v>17</v>
      </c>
      <c r="D343" t="s">
        <v>13</v>
      </c>
      <c r="E343" t="s">
        <v>53</v>
      </c>
      <c r="F343" t="s">
        <v>15</v>
      </c>
      <c r="G343">
        <v>4</v>
      </c>
      <c r="H343">
        <v>3</v>
      </c>
      <c r="I343">
        <v>0</v>
      </c>
      <c r="J343">
        <v>4.4000000000000004</v>
      </c>
      <c r="K343" t="str" cm="1">
        <f t="array" ref="K34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344" spans="1:11" x14ac:dyDescent="0.35">
      <c r="A344" s="16" t="s">
        <v>33</v>
      </c>
      <c r="B344" t="s">
        <v>24</v>
      </c>
      <c r="C344" t="s">
        <v>64</v>
      </c>
      <c r="D344" t="s">
        <v>13</v>
      </c>
      <c r="E344" t="s">
        <v>27</v>
      </c>
      <c r="F344" t="s">
        <v>15</v>
      </c>
      <c r="G344">
        <v>1</v>
      </c>
      <c r="H344">
        <v>1</v>
      </c>
      <c r="I344">
        <v>0</v>
      </c>
      <c r="J344">
        <v>4.7</v>
      </c>
      <c r="K344" t="str" cm="1">
        <f t="array" ref="K34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345" spans="1:11" x14ac:dyDescent="0.35">
      <c r="A345" s="16" t="s">
        <v>50</v>
      </c>
      <c r="B345" t="s">
        <v>41</v>
      </c>
      <c r="C345" t="s">
        <v>42</v>
      </c>
      <c r="D345" t="s">
        <v>13</v>
      </c>
      <c r="E345" t="s">
        <v>53</v>
      </c>
      <c r="F345" t="s">
        <v>19</v>
      </c>
      <c r="G345">
        <v>9</v>
      </c>
      <c r="H345">
        <v>8</v>
      </c>
      <c r="I345">
        <v>1</v>
      </c>
      <c r="J345">
        <v>2.7</v>
      </c>
      <c r="K345" t="str" cm="1">
        <f t="array" ref="K34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346" spans="1:11" x14ac:dyDescent="0.35">
      <c r="A346" s="16" t="s">
        <v>45</v>
      </c>
      <c r="B346" t="s">
        <v>11</v>
      </c>
      <c r="C346" t="s">
        <v>12</v>
      </c>
      <c r="D346" t="s">
        <v>40</v>
      </c>
      <c r="E346" t="s">
        <v>53</v>
      </c>
      <c r="F346" t="s">
        <v>19</v>
      </c>
      <c r="G346">
        <v>5</v>
      </c>
      <c r="H346">
        <v>5</v>
      </c>
      <c r="I346">
        <v>0</v>
      </c>
      <c r="J346">
        <v>3.8</v>
      </c>
      <c r="K346" t="str" cm="1">
        <f t="array" ref="K34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347" spans="1:11" x14ac:dyDescent="0.35">
      <c r="A347" s="16" t="s">
        <v>33</v>
      </c>
      <c r="B347" t="s">
        <v>46</v>
      </c>
      <c r="C347" t="s">
        <v>47</v>
      </c>
      <c r="D347" t="s">
        <v>26</v>
      </c>
      <c r="E347" t="s">
        <v>27</v>
      </c>
      <c r="F347" t="s">
        <v>19</v>
      </c>
      <c r="G347">
        <v>7</v>
      </c>
      <c r="H347">
        <v>6</v>
      </c>
      <c r="I347">
        <v>1</v>
      </c>
      <c r="J347">
        <v>2.7</v>
      </c>
      <c r="K347" t="str" cm="1">
        <f t="array" ref="K34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348" spans="1:11" x14ac:dyDescent="0.35">
      <c r="A348" s="16" t="s">
        <v>43</v>
      </c>
      <c r="B348" t="s">
        <v>24</v>
      </c>
      <c r="C348" t="s">
        <v>25</v>
      </c>
      <c r="D348" t="s">
        <v>21</v>
      </c>
      <c r="E348" t="s">
        <v>30</v>
      </c>
      <c r="F348" t="s">
        <v>19</v>
      </c>
      <c r="G348">
        <v>4</v>
      </c>
      <c r="H348">
        <v>4</v>
      </c>
      <c r="I348">
        <v>0</v>
      </c>
      <c r="J348">
        <v>3</v>
      </c>
      <c r="K348" t="str" cm="1">
        <f t="array" ref="K34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349" spans="1:11" x14ac:dyDescent="0.35">
      <c r="A349" s="16" t="s">
        <v>33</v>
      </c>
      <c r="B349" t="s">
        <v>24</v>
      </c>
      <c r="C349" t="s">
        <v>25</v>
      </c>
      <c r="D349" t="s">
        <v>13</v>
      </c>
      <c r="E349" t="s">
        <v>22</v>
      </c>
      <c r="F349" t="s">
        <v>15</v>
      </c>
      <c r="G349">
        <v>5</v>
      </c>
      <c r="H349">
        <v>5</v>
      </c>
      <c r="I349">
        <v>0</v>
      </c>
      <c r="J349">
        <v>2.2999999999999998</v>
      </c>
      <c r="K349" t="str" cm="1">
        <f t="array" ref="K34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350" spans="1:11" x14ac:dyDescent="0.35">
      <c r="A350" s="16" t="s">
        <v>10</v>
      </c>
      <c r="B350" t="s">
        <v>34</v>
      </c>
      <c r="C350" t="s">
        <v>51</v>
      </c>
      <c r="D350" t="s">
        <v>40</v>
      </c>
      <c r="E350" t="s">
        <v>53</v>
      </c>
      <c r="F350" t="s">
        <v>15</v>
      </c>
      <c r="G350">
        <v>4</v>
      </c>
      <c r="H350">
        <v>3</v>
      </c>
      <c r="I350">
        <v>0</v>
      </c>
      <c r="J350">
        <v>2</v>
      </c>
      <c r="K350" t="str" cm="1">
        <f t="array" ref="K35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351" spans="1:11" x14ac:dyDescent="0.35">
      <c r="A351" s="16" t="s">
        <v>45</v>
      </c>
      <c r="B351" t="s">
        <v>11</v>
      </c>
      <c r="C351" t="s">
        <v>12</v>
      </c>
      <c r="D351" t="s">
        <v>40</v>
      </c>
      <c r="E351" t="s">
        <v>27</v>
      </c>
      <c r="F351" t="s">
        <v>15</v>
      </c>
      <c r="G351">
        <v>6</v>
      </c>
      <c r="H351">
        <v>6</v>
      </c>
      <c r="I351">
        <v>1</v>
      </c>
      <c r="J351">
        <v>1.9</v>
      </c>
      <c r="K351" t="str" cm="1">
        <f t="array" ref="K35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352" spans="1:11" x14ac:dyDescent="0.35">
      <c r="A352" s="16" t="s">
        <v>20</v>
      </c>
      <c r="B352" t="s">
        <v>41</v>
      </c>
      <c r="C352" t="s">
        <v>42</v>
      </c>
      <c r="D352" t="s">
        <v>22</v>
      </c>
      <c r="E352" t="s">
        <v>53</v>
      </c>
      <c r="F352" t="s">
        <v>19</v>
      </c>
      <c r="G352">
        <v>6</v>
      </c>
      <c r="H352">
        <v>6</v>
      </c>
      <c r="I352">
        <v>0</v>
      </c>
      <c r="J352">
        <v>1.6</v>
      </c>
      <c r="K352" t="str" cm="1">
        <f t="array" ref="K35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353" spans="1:11" x14ac:dyDescent="0.35">
      <c r="A353" s="16" t="s">
        <v>50</v>
      </c>
      <c r="B353" t="s">
        <v>46</v>
      </c>
      <c r="C353" t="s">
        <v>47</v>
      </c>
      <c r="D353" t="s">
        <v>22</v>
      </c>
      <c r="E353" t="s">
        <v>22</v>
      </c>
      <c r="F353" t="s">
        <v>15</v>
      </c>
      <c r="G353">
        <v>9</v>
      </c>
      <c r="H353">
        <v>8</v>
      </c>
      <c r="I353">
        <v>0</v>
      </c>
      <c r="J353">
        <v>3</v>
      </c>
      <c r="K353" t="str" cm="1">
        <f t="array" ref="K35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354" spans="1:11" x14ac:dyDescent="0.35">
      <c r="A354" s="16" t="s">
        <v>10</v>
      </c>
      <c r="B354" t="s">
        <v>37</v>
      </c>
      <c r="C354" t="s">
        <v>38</v>
      </c>
      <c r="D354" t="s">
        <v>32</v>
      </c>
      <c r="E354" t="s">
        <v>22</v>
      </c>
      <c r="F354" t="s">
        <v>15</v>
      </c>
      <c r="G354">
        <v>2</v>
      </c>
      <c r="H354">
        <v>2</v>
      </c>
      <c r="I354">
        <v>0</v>
      </c>
      <c r="J354">
        <v>1.8</v>
      </c>
      <c r="K354" t="str" cm="1">
        <f t="array" ref="K35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355" spans="1:11" x14ac:dyDescent="0.35">
      <c r="A355" s="16" t="s">
        <v>55</v>
      </c>
      <c r="B355" t="s">
        <v>11</v>
      </c>
      <c r="C355" t="s">
        <v>52</v>
      </c>
      <c r="D355" t="s">
        <v>26</v>
      </c>
      <c r="E355" t="s">
        <v>30</v>
      </c>
      <c r="F355" t="s">
        <v>19</v>
      </c>
      <c r="G355">
        <v>1</v>
      </c>
      <c r="H355">
        <v>1</v>
      </c>
      <c r="I355">
        <v>0</v>
      </c>
      <c r="J355">
        <v>3.1</v>
      </c>
      <c r="K355" t="str" cm="1">
        <f t="array" ref="K35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356" spans="1:11" x14ac:dyDescent="0.35">
      <c r="A356" s="16" t="s">
        <v>45</v>
      </c>
      <c r="B356" t="s">
        <v>56</v>
      </c>
      <c r="C356" t="s">
        <v>57</v>
      </c>
      <c r="D356" t="s">
        <v>22</v>
      </c>
      <c r="E356" t="s">
        <v>22</v>
      </c>
      <c r="F356" t="s">
        <v>15</v>
      </c>
      <c r="G356">
        <v>3</v>
      </c>
      <c r="H356">
        <v>3</v>
      </c>
      <c r="I356">
        <v>0</v>
      </c>
      <c r="J356">
        <v>1.6</v>
      </c>
      <c r="K356" t="str" cm="1">
        <f t="array" ref="K35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357" spans="1:11" x14ac:dyDescent="0.35">
      <c r="A357" s="16" t="s">
        <v>55</v>
      </c>
      <c r="B357" t="s">
        <v>37</v>
      </c>
      <c r="C357" t="s">
        <v>39</v>
      </c>
      <c r="D357" t="s">
        <v>40</v>
      </c>
      <c r="E357" t="s">
        <v>22</v>
      </c>
      <c r="F357" t="s">
        <v>15</v>
      </c>
      <c r="G357">
        <v>7</v>
      </c>
      <c r="H357">
        <v>6</v>
      </c>
      <c r="I357">
        <v>0</v>
      </c>
      <c r="J357">
        <v>2.4</v>
      </c>
      <c r="K357" t="str" cm="1">
        <f t="array" ref="K35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358" spans="1:11" x14ac:dyDescent="0.35">
      <c r="A358" s="16" t="s">
        <v>55</v>
      </c>
      <c r="B358" t="s">
        <v>46</v>
      </c>
      <c r="C358" t="s">
        <v>54</v>
      </c>
      <c r="D358" t="s">
        <v>22</v>
      </c>
      <c r="E358" t="s">
        <v>14</v>
      </c>
      <c r="F358" t="s">
        <v>15</v>
      </c>
      <c r="G358">
        <v>6</v>
      </c>
      <c r="H358">
        <v>6</v>
      </c>
      <c r="I358">
        <v>0</v>
      </c>
      <c r="J358">
        <v>3.4</v>
      </c>
      <c r="K358" t="str" cm="1">
        <f t="array" ref="K35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359" spans="1:11" x14ac:dyDescent="0.35">
      <c r="A359" s="16" t="s">
        <v>33</v>
      </c>
      <c r="B359" t="s">
        <v>56</v>
      </c>
      <c r="C359" t="s">
        <v>62</v>
      </c>
      <c r="D359" t="s">
        <v>26</v>
      </c>
      <c r="E359" t="s">
        <v>18</v>
      </c>
      <c r="F359" t="s">
        <v>15</v>
      </c>
      <c r="G359">
        <v>5</v>
      </c>
      <c r="H359">
        <v>5</v>
      </c>
      <c r="I359">
        <v>1</v>
      </c>
      <c r="J359">
        <v>2.2000000000000002</v>
      </c>
      <c r="K359" t="str" cm="1">
        <f t="array" ref="K35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360" spans="1:11" x14ac:dyDescent="0.35">
      <c r="A360" s="16" t="s">
        <v>20</v>
      </c>
      <c r="B360" t="s">
        <v>48</v>
      </c>
      <c r="C360" t="s">
        <v>49</v>
      </c>
      <c r="D360" t="s">
        <v>40</v>
      </c>
      <c r="E360" t="s">
        <v>53</v>
      </c>
      <c r="F360" t="s">
        <v>19</v>
      </c>
      <c r="G360">
        <v>5</v>
      </c>
      <c r="H360">
        <v>5</v>
      </c>
      <c r="I360">
        <v>0</v>
      </c>
      <c r="J360">
        <v>4.2</v>
      </c>
      <c r="K360" t="str" cm="1">
        <f t="array" ref="K36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361" spans="1:11" x14ac:dyDescent="0.35">
      <c r="A361" s="16" t="s">
        <v>36</v>
      </c>
      <c r="B361" t="s">
        <v>56</v>
      </c>
      <c r="C361" t="s">
        <v>62</v>
      </c>
      <c r="D361" t="s">
        <v>13</v>
      </c>
      <c r="E361" t="s">
        <v>30</v>
      </c>
      <c r="F361" t="s">
        <v>15</v>
      </c>
      <c r="G361">
        <v>7</v>
      </c>
      <c r="H361">
        <v>5</v>
      </c>
      <c r="I361">
        <v>0</v>
      </c>
      <c r="J361">
        <v>3.1</v>
      </c>
      <c r="K361" t="str" cm="1">
        <f t="array" ref="K36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362" spans="1:11" x14ac:dyDescent="0.35">
      <c r="A362" s="16" t="s">
        <v>59</v>
      </c>
      <c r="B362" t="s">
        <v>28</v>
      </c>
      <c r="C362" t="s">
        <v>58</v>
      </c>
      <c r="D362" t="s">
        <v>13</v>
      </c>
      <c r="E362" t="s">
        <v>14</v>
      </c>
      <c r="F362" t="s">
        <v>19</v>
      </c>
      <c r="G362">
        <v>4</v>
      </c>
      <c r="H362">
        <v>4</v>
      </c>
      <c r="I362">
        <v>1</v>
      </c>
      <c r="J362">
        <v>3.8</v>
      </c>
      <c r="K362" t="str" cm="1">
        <f t="array" ref="K36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363" spans="1:11" x14ac:dyDescent="0.35">
      <c r="A363" s="16" t="s">
        <v>45</v>
      </c>
      <c r="B363" t="s">
        <v>56</v>
      </c>
      <c r="C363" t="s">
        <v>62</v>
      </c>
      <c r="D363" t="s">
        <v>22</v>
      </c>
      <c r="E363" t="s">
        <v>22</v>
      </c>
      <c r="F363" t="s">
        <v>19</v>
      </c>
      <c r="G363">
        <v>3</v>
      </c>
      <c r="H363">
        <v>3</v>
      </c>
      <c r="I363">
        <v>0</v>
      </c>
      <c r="J363">
        <v>0.8</v>
      </c>
      <c r="K363" t="str" cm="1">
        <f t="array" ref="K36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364" spans="1:11" x14ac:dyDescent="0.35">
      <c r="A364" s="16" t="s">
        <v>36</v>
      </c>
      <c r="B364" t="s">
        <v>28</v>
      </c>
      <c r="C364" t="s">
        <v>58</v>
      </c>
      <c r="D364" t="s">
        <v>21</v>
      </c>
      <c r="E364" t="s">
        <v>14</v>
      </c>
      <c r="F364" t="s">
        <v>19</v>
      </c>
      <c r="G364">
        <v>5</v>
      </c>
      <c r="H364">
        <v>5</v>
      </c>
      <c r="I364">
        <v>0</v>
      </c>
      <c r="J364">
        <v>2.4</v>
      </c>
      <c r="K364" t="str" cm="1">
        <f t="array" ref="K36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365" spans="1:11" x14ac:dyDescent="0.35">
      <c r="A365" s="16" t="s">
        <v>61</v>
      </c>
      <c r="B365" t="s">
        <v>46</v>
      </c>
      <c r="C365" t="s">
        <v>54</v>
      </c>
      <c r="D365" t="s">
        <v>13</v>
      </c>
      <c r="E365" t="s">
        <v>18</v>
      </c>
      <c r="F365" t="s">
        <v>15</v>
      </c>
      <c r="G365">
        <v>3</v>
      </c>
      <c r="H365">
        <v>3</v>
      </c>
      <c r="I365">
        <v>0</v>
      </c>
      <c r="J365">
        <v>0.8</v>
      </c>
      <c r="K365" t="str" cm="1">
        <f t="array" ref="K36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366" spans="1:11" x14ac:dyDescent="0.35">
      <c r="A366" s="16" t="s">
        <v>43</v>
      </c>
      <c r="B366" t="s">
        <v>37</v>
      </c>
      <c r="C366" t="s">
        <v>38</v>
      </c>
      <c r="D366" t="s">
        <v>40</v>
      </c>
      <c r="E366" t="s">
        <v>53</v>
      </c>
      <c r="F366" t="s">
        <v>19</v>
      </c>
      <c r="G366">
        <v>1</v>
      </c>
      <c r="H366">
        <v>1</v>
      </c>
      <c r="I366">
        <v>0</v>
      </c>
      <c r="J366">
        <v>2.2999999999999998</v>
      </c>
      <c r="K366" t="str" cm="1">
        <f t="array" ref="K36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367" spans="1:11" x14ac:dyDescent="0.35">
      <c r="A367" s="16" t="s">
        <v>36</v>
      </c>
      <c r="B367" t="s">
        <v>11</v>
      </c>
      <c r="C367" t="s">
        <v>52</v>
      </c>
      <c r="D367" t="s">
        <v>26</v>
      </c>
      <c r="E367" t="s">
        <v>22</v>
      </c>
      <c r="F367" t="s">
        <v>19</v>
      </c>
      <c r="G367">
        <v>8</v>
      </c>
      <c r="H367">
        <v>7</v>
      </c>
      <c r="I367">
        <v>0</v>
      </c>
      <c r="J367">
        <v>3.1</v>
      </c>
      <c r="K367" t="str" cm="1">
        <f t="array" ref="K36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368" spans="1:11" x14ac:dyDescent="0.35">
      <c r="A368" s="16" t="s">
        <v>50</v>
      </c>
      <c r="B368" t="s">
        <v>56</v>
      </c>
      <c r="C368" t="s">
        <v>62</v>
      </c>
      <c r="D368" t="s">
        <v>32</v>
      </c>
      <c r="E368" t="s">
        <v>14</v>
      </c>
      <c r="F368" t="s">
        <v>19</v>
      </c>
      <c r="G368">
        <v>10</v>
      </c>
      <c r="H368">
        <v>9</v>
      </c>
      <c r="I368">
        <v>1</v>
      </c>
      <c r="J368">
        <v>2.2000000000000002</v>
      </c>
      <c r="K368" t="str" cm="1">
        <f t="array" ref="K36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369" spans="1:11" x14ac:dyDescent="0.35">
      <c r="A369" s="16" t="s">
        <v>33</v>
      </c>
      <c r="B369" t="s">
        <v>37</v>
      </c>
      <c r="C369" t="s">
        <v>38</v>
      </c>
      <c r="D369" t="s">
        <v>40</v>
      </c>
      <c r="E369" t="s">
        <v>22</v>
      </c>
      <c r="F369" t="s">
        <v>19</v>
      </c>
      <c r="G369">
        <v>4</v>
      </c>
      <c r="H369">
        <v>4</v>
      </c>
      <c r="I369">
        <v>0</v>
      </c>
      <c r="J369">
        <v>2.2999999999999998</v>
      </c>
      <c r="K369" t="str" cm="1">
        <f t="array" ref="K36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370" spans="1:11" x14ac:dyDescent="0.35">
      <c r="A370" s="16" t="s">
        <v>43</v>
      </c>
      <c r="B370" t="s">
        <v>16</v>
      </c>
      <c r="C370" t="s">
        <v>60</v>
      </c>
      <c r="D370" t="s">
        <v>21</v>
      </c>
      <c r="E370" t="s">
        <v>14</v>
      </c>
      <c r="F370" t="s">
        <v>15</v>
      </c>
      <c r="G370">
        <v>6</v>
      </c>
      <c r="H370">
        <v>5</v>
      </c>
      <c r="I370">
        <v>0</v>
      </c>
      <c r="J370">
        <v>3.2</v>
      </c>
      <c r="K370" t="str" cm="1">
        <f t="array" ref="K37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371" spans="1:11" x14ac:dyDescent="0.35">
      <c r="A371" s="16" t="s">
        <v>10</v>
      </c>
      <c r="B371" t="s">
        <v>48</v>
      </c>
      <c r="C371" t="s">
        <v>49</v>
      </c>
      <c r="D371" t="s">
        <v>21</v>
      </c>
      <c r="E371" t="s">
        <v>18</v>
      </c>
      <c r="F371" t="s">
        <v>15</v>
      </c>
      <c r="G371">
        <v>4</v>
      </c>
      <c r="H371">
        <v>4</v>
      </c>
      <c r="I371">
        <v>0</v>
      </c>
      <c r="J371">
        <v>3.6</v>
      </c>
      <c r="K371" t="str" cm="1">
        <f t="array" ref="K37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372" spans="1:11" x14ac:dyDescent="0.35">
      <c r="A372" s="16" t="s">
        <v>33</v>
      </c>
      <c r="B372" t="s">
        <v>24</v>
      </c>
      <c r="C372" t="s">
        <v>64</v>
      </c>
      <c r="D372" t="s">
        <v>40</v>
      </c>
      <c r="E372" t="s">
        <v>18</v>
      </c>
      <c r="F372" t="s">
        <v>19</v>
      </c>
      <c r="G372">
        <v>5</v>
      </c>
      <c r="H372">
        <v>4</v>
      </c>
      <c r="I372">
        <v>0</v>
      </c>
      <c r="J372">
        <v>2.5</v>
      </c>
      <c r="K372" t="str" cm="1">
        <f t="array" ref="K37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373" spans="1:11" x14ac:dyDescent="0.35">
      <c r="A373" s="16" t="s">
        <v>23</v>
      </c>
      <c r="B373" t="s">
        <v>48</v>
      </c>
      <c r="C373" t="s">
        <v>63</v>
      </c>
      <c r="D373" t="s">
        <v>40</v>
      </c>
      <c r="E373" t="s">
        <v>14</v>
      </c>
      <c r="F373" t="s">
        <v>15</v>
      </c>
      <c r="G373">
        <v>3</v>
      </c>
      <c r="H373">
        <v>3</v>
      </c>
      <c r="I373">
        <v>0</v>
      </c>
      <c r="J373">
        <v>2.9</v>
      </c>
      <c r="K373" t="str" cm="1">
        <f t="array" ref="K37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374" spans="1:11" x14ac:dyDescent="0.35">
      <c r="A374" s="16" t="s">
        <v>55</v>
      </c>
      <c r="B374" t="s">
        <v>46</v>
      </c>
      <c r="C374" t="s">
        <v>47</v>
      </c>
      <c r="D374" t="s">
        <v>22</v>
      </c>
      <c r="E374" t="s">
        <v>53</v>
      </c>
      <c r="F374" t="s">
        <v>19</v>
      </c>
      <c r="G374">
        <v>10</v>
      </c>
      <c r="H374">
        <v>10</v>
      </c>
      <c r="I374">
        <v>0</v>
      </c>
      <c r="J374">
        <v>3.8</v>
      </c>
      <c r="K374" t="str" cm="1">
        <f t="array" ref="K37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375" spans="1:11" x14ac:dyDescent="0.35">
      <c r="A375" s="16" t="s">
        <v>61</v>
      </c>
      <c r="B375" t="s">
        <v>34</v>
      </c>
      <c r="C375" t="s">
        <v>51</v>
      </c>
      <c r="D375" t="s">
        <v>32</v>
      </c>
      <c r="E375" t="s">
        <v>30</v>
      </c>
      <c r="F375" t="s">
        <v>15</v>
      </c>
      <c r="G375">
        <v>4</v>
      </c>
      <c r="H375">
        <v>4</v>
      </c>
      <c r="I375">
        <v>0</v>
      </c>
      <c r="J375">
        <v>3.6</v>
      </c>
      <c r="K375" t="str" cm="1">
        <f t="array" ref="K37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376" spans="1:11" x14ac:dyDescent="0.35">
      <c r="A376" s="16" t="s">
        <v>10</v>
      </c>
      <c r="B376" t="s">
        <v>16</v>
      </c>
      <c r="C376" t="s">
        <v>17</v>
      </c>
      <c r="D376" t="s">
        <v>32</v>
      </c>
      <c r="E376" t="s">
        <v>14</v>
      </c>
      <c r="F376" t="s">
        <v>19</v>
      </c>
      <c r="G376">
        <v>6</v>
      </c>
      <c r="H376">
        <v>5</v>
      </c>
      <c r="I376">
        <v>0</v>
      </c>
      <c r="J376">
        <v>3.4</v>
      </c>
      <c r="K376" t="str" cm="1">
        <f t="array" ref="K37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377" spans="1:11" x14ac:dyDescent="0.35">
      <c r="A377" s="16" t="s">
        <v>23</v>
      </c>
      <c r="B377" t="s">
        <v>28</v>
      </c>
      <c r="C377" t="s">
        <v>29</v>
      </c>
      <c r="D377" t="s">
        <v>13</v>
      </c>
      <c r="E377" t="s">
        <v>30</v>
      </c>
      <c r="F377" t="s">
        <v>15</v>
      </c>
      <c r="G377">
        <v>10</v>
      </c>
      <c r="H377">
        <v>9</v>
      </c>
      <c r="I377">
        <v>2</v>
      </c>
      <c r="J377">
        <v>4.0999999999999996</v>
      </c>
      <c r="K377" t="str" cm="1">
        <f t="array" ref="K37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378" spans="1:11" x14ac:dyDescent="0.35">
      <c r="A378" s="16" t="s">
        <v>59</v>
      </c>
      <c r="B378" t="s">
        <v>24</v>
      </c>
      <c r="C378" t="s">
        <v>64</v>
      </c>
      <c r="D378" t="s">
        <v>22</v>
      </c>
      <c r="E378" t="s">
        <v>27</v>
      </c>
      <c r="F378" t="s">
        <v>15</v>
      </c>
      <c r="G378">
        <v>10</v>
      </c>
      <c r="H378">
        <v>9</v>
      </c>
      <c r="I378">
        <v>1</v>
      </c>
      <c r="J378">
        <v>1.9</v>
      </c>
      <c r="K378" t="str" cm="1">
        <f t="array" ref="K37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379" spans="1:11" x14ac:dyDescent="0.35">
      <c r="A379" s="16" t="s">
        <v>20</v>
      </c>
      <c r="B379" t="s">
        <v>34</v>
      </c>
      <c r="C379" t="s">
        <v>35</v>
      </c>
      <c r="D379" t="s">
        <v>22</v>
      </c>
      <c r="E379" t="s">
        <v>18</v>
      </c>
      <c r="F379" t="s">
        <v>19</v>
      </c>
      <c r="G379">
        <v>7</v>
      </c>
      <c r="H379">
        <v>6</v>
      </c>
      <c r="I379">
        <v>0</v>
      </c>
      <c r="J379">
        <v>4.5</v>
      </c>
      <c r="K379" t="str" cm="1">
        <f t="array" ref="K37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380" spans="1:11" x14ac:dyDescent="0.35">
      <c r="A380" s="16" t="s">
        <v>36</v>
      </c>
      <c r="B380" t="s">
        <v>37</v>
      </c>
      <c r="C380" t="s">
        <v>38</v>
      </c>
      <c r="D380" t="s">
        <v>22</v>
      </c>
      <c r="E380" t="s">
        <v>22</v>
      </c>
      <c r="F380" t="s">
        <v>19</v>
      </c>
      <c r="G380">
        <v>5</v>
      </c>
      <c r="H380">
        <v>5</v>
      </c>
      <c r="I380">
        <v>1</v>
      </c>
      <c r="J380">
        <v>4.5999999999999996</v>
      </c>
      <c r="K380" t="str" cm="1">
        <f t="array" ref="K38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381" spans="1:11" x14ac:dyDescent="0.35">
      <c r="A381" s="16" t="s">
        <v>59</v>
      </c>
      <c r="B381" t="s">
        <v>11</v>
      </c>
      <c r="C381" t="s">
        <v>52</v>
      </c>
      <c r="D381" t="s">
        <v>21</v>
      </c>
      <c r="E381" t="s">
        <v>30</v>
      </c>
      <c r="F381" t="s">
        <v>19</v>
      </c>
      <c r="G381">
        <v>7</v>
      </c>
      <c r="H381">
        <v>7</v>
      </c>
      <c r="I381">
        <v>1</v>
      </c>
      <c r="J381">
        <v>3.9</v>
      </c>
      <c r="K381" t="str" cm="1">
        <f t="array" ref="K38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382" spans="1:11" x14ac:dyDescent="0.35">
      <c r="A382" s="16" t="s">
        <v>23</v>
      </c>
      <c r="B382" t="s">
        <v>11</v>
      </c>
      <c r="C382" t="s">
        <v>52</v>
      </c>
      <c r="D382" t="s">
        <v>22</v>
      </c>
      <c r="E382" t="s">
        <v>53</v>
      </c>
      <c r="F382" t="s">
        <v>15</v>
      </c>
      <c r="G382">
        <v>3</v>
      </c>
      <c r="H382">
        <v>3</v>
      </c>
      <c r="I382">
        <v>0</v>
      </c>
      <c r="J382">
        <v>3.2</v>
      </c>
      <c r="K382" t="str" cm="1">
        <f t="array" ref="K38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383" spans="1:11" x14ac:dyDescent="0.35">
      <c r="A383" s="16" t="s">
        <v>20</v>
      </c>
      <c r="B383" t="s">
        <v>48</v>
      </c>
      <c r="C383" t="s">
        <v>63</v>
      </c>
      <c r="D383" t="s">
        <v>26</v>
      </c>
      <c r="E383" t="s">
        <v>18</v>
      </c>
      <c r="F383" t="s">
        <v>15</v>
      </c>
      <c r="G383">
        <v>8</v>
      </c>
      <c r="H383">
        <v>7</v>
      </c>
      <c r="I383">
        <v>3</v>
      </c>
      <c r="J383">
        <v>2.2000000000000002</v>
      </c>
      <c r="K383" t="str" cm="1">
        <f t="array" ref="K38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384" spans="1:11" x14ac:dyDescent="0.35">
      <c r="A384" s="16" t="s">
        <v>23</v>
      </c>
      <c r="B384" t="s">
        <v>34</v>
      </c>
      <c r="C384" t="s">
        <v>35</v>
      </c>
      <c r="D384" t="s">
        <v>32</v>
      </c>
      <c r="E384" t="s">
        <v>18</v>
      </c>
      <c r="F384" t="s">
        <v>15</v>
      </c>
      <c r="G384">
        <v>5</v>
      </c>
      <c r="H384">
        <v>5</v>
      </c>
      <c r="I384">
        <v>0</v>
      </c>
      <c r="J384">
        <v>3.3</v>
      </c>
      <c r="K384" t="str" cm="1">
        <f t="array" ref="K38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385" spans="1:11" x14ac:dyDescent="0.35">
      <c r="A385" s="16" t="s">
        <v>59</v>
      </c>
      <c r="B385" t="s">
        <v>16</v>
      </c>
      <c r="C385" t="s">
        <v>17</v>
      </c>
      <c r="D385" t="s">
        <v>13</v>
      </c>
      <c r="E385" t="s">
        <v>18</v>
      </c>
      <c r="F385" t="s">
        <v>15</v>
      </c>
      <c r="G385">
        <v>3</v>
      </c>
      <c r="H385">
        <v>3</v>
      </c>
      <c r="I385">
        <v>0</v>
      </c>
      <c r="J385">
        <v>3.3</v>
      </c>
      <c r="K385" t="str" cm="1">
        <f t="array" ref="K38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386" spans="1:11" x14ac:dyDescent="0.35">
      <c r="A386" s="16" t="s">
        <v>10</v>
      </c>
      <c r="B386" t="s">
        <v>11</v>
      </c>
      <c r="C386" t="s">
        <v>52</v>
      </c>
      <c r="D386" t="s">
        <v>32</v>
      </c>
      <c r="E386" t="s">
        <v>53</v>
      </c>
      <c r="F386" t="s">
        <v>15</v>
      </c>
      <c r="G386">
        <v>3</v>
      </c>
      <c r="H386">
        <v>3</v>
      </c>
      <c r="I386">
        <v>1</v>
      </c>
      <c r="J386">
        <v>1.3</v>
      </c>
      <c r="K386" t="str" cm="1">
        <f t="array" ref="K38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387" spans="1:11" x14ac:dyDescent="0.35">
      <c r="A387" s="16" t="s">
        <v>36</v>
      </c>
      <c r="B387" t="s">
        <v>48</v>
      </c>
      <c r="C387" t="s">
        <v>49</v>
      </c>
      <c r="D387" t="s">
        <v>40</v>
      </c>
      <c r="E387" t="s">
        <v>18</v>
      </c>
      <c r="F387" t="s">
        <v>19</v>
      </c>
      <c r="G387">
        <v>4</v>
      </c>
      <c r="H387">
        <v>4</v>
      </c>
      <c r="I387">
        <v>0</v>
      </c>
      <c r="J387">
        <v>2.5</v>
      </c>
      <c r="K387" t="str" cm="1">
        <f t="array" ref="K38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388" spans="1:11" x14ac:dyDescent="0.35">
      <c r="A388" s="16" t="s">
        <v>36</v>
      </c>
      <c r="B388" t="s">
        <v>48</v>
      </c>
      <c r="C388" t="s">
        <v>63</v>
      </c>
      <c r="D388" t="s">
        <v>26</v>
      </c>
      <c r="E388" t="s">
        <v>22</v>
      </c>
      <c r="F388" t="s">
        <v>15</v>
      </c>
      <c r="G388">
        <v>4</v>
      </c>
      <c r="H388">
        <v>4</v>
      </c>
      <c r="I388">
        <v>1</v>
      </c>
      <c r="J388">
        <v>1.1000000000000001</v>
      </c>
      <c r="K388" t="str" cm="1">
        <f t="array" ref="K38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389" spans="1:11" x14ac:dyDescent="0.35">
      <c r="A389" s="16" t="s">
        <v>43</v>
      </c>
      <c r="B389" t="s">
        <v>34</v>
      </c>
      <c r="C389" t="s">
        <v>35</v>
      </c>
      <c r="D389" t="s">
        <v>26</v>
      </c>
      <c r="E389" t="s">
        <v>30</v>
      </c>
      <c r="F389" t="s">
        <v>19</v>
      </c>
      <c r="G389">
        <v>5</v>
      </c>
      <c r="H389">
        <v>4</v>
      </c>
      <c r="I389">
        <v>0</v>
      </c>
      <c r="J389">
        <v>2.8</v>
      </c>
      <c r="K389" t="str" cm="1">
        <f t="array" ref="K38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390" spans="1:11" x14ac:dyDescent="0.35">
      <c r="A390" s="16" t="s">
        <v>36</v>
      </c>
      <c r="B390" t="s">
        <v>11</v>
      </c>
      <c r="C390" t="s">
        <v>52</v>
      </c>
      <c r="D390" t="s">
        <v>22</v>
      </c>
      <c r="E390" t="s">
        <v>53</v>
      </c>
      <c r="F390" t="s">
        <v>15</v>
      </c>
      <c r="G390">
        <v>3</v>
      </c>
      <c r="H390">
        <v>2</v>
      </c>
      <c r="I390">
        <v>0</v>
      </c>
      <c r="J390">
        <v>1.8</v>
      </c>
      <c r="K390" t="str" cm="1">
        <f t="array" ref="K39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391" spans="1:11" x14ac:dyDescent="0.35">
      <c r="A391" s="16" t="s">
        <v>59</v>
      </c>
      <c r="B391" t="s">
        <v>37</v>
      </c>
      <c r="C391" t="s">
        <v>38</v>
      </c>
      <c r="D391" t="s">
        <v>22</v>
      </c>
      <c r="E391" t="s">
        <v>18</v>
      </c>
      <c r="F391" t="s">
        <v>19</v>
      </c>
      <c r="G391">
        <v>11</v>
      </c>
      <c r="H391">
        <v>10</v>
      </c>
      <c r="I391">
        <v>1</v>
      </c>
      <c r="J391">
        <v>0.7</v>
      </c>
      <c r="K391" t="str" cm="1">
        <f t="array" ref="K39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392" spans="1:11" x14ac:dyDescent="0.35">
      <c r="A392" s="16" t="s">
        <v>33</v>
      </c>
      <c r="B392" t="s">
        <v>48</v>
      </c>
      <c r="C392" t="s">
        <v>49</v>
      </c>
      <c r="D392" t="s">
        <v>26</v>
      </c>
      <c r="E392" t="s">
        <v>14</v>
      </c>
      <c r="F392" t="s">
        <v>19</v>
      </c>
      <c r="G392">
        <v>7</v>
      </c>
      <c r="H392">
        <v>6</v>
      </c>
      <c r="I392">
        <v>0</v>
      </c>
      <c r="J392">
        <v>3.3</v>
      </c>
      <c r="K392" t="str" cm="1">
        <f t="array" ref="K39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393" spans="1:11" x14ac:dyDescent="0.35">
      <c r="A393" s="16" t="s">
        <v>36</v>
      </c>
      <c r="B393" t="s">
        <v>48</v>
      </c>
      <c r="C393" t="s">
        <v>49</v>
      </c>
      <c r="D393" t="s">
        <v>13</v>
      </c>
      <c r="E393" t="s">
        <v>18</v>
      </c>
      <c r="F393" t="s">
        <v>19</v>
      </c>
      <c r="G393">
        <v>6</v>
      </c>
      <c r="H393">
        <v>6</v>
      </c>
      <c r="I393">
        <v>0</v>
      </c>
      <c r="J393">
        <v>1.7</v>
      </c>
      <c r="K393" t="str" cm="1">
        <f t="array" ref="K39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394" spans="1:11" x14ac:dyDescent="0.35">
      <c r="A394" s="16" t="s">
        <v>55</v>
      </c>
      <c r="B394" t="s">
        <v>56</v>
      </c>
      <c r="C394" t="s">
        <v>62</v>
      </c>
      <c r="D394" t="s">
        <v>32</v>
      </c>
      <c r="E394" t="s">
        <v>22</v>
      </c>
      <c r="F394" t="s">
        <v>15</v>
      </c>
      <c r="G394">
        <v>3</v>
      </c>
      <c r="H394">
        <v>2</v>
      </c>
      <c r="I394">
        <v>0</v>
      </c>
      <c r="J394">
        <v>1.9</v>
      </c>
      <c r="K394" t="str" cm="1">
        <f t="array" ref="K39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395" spans="1:11" x14ac:dyDescent="0.35">
      <c r="A395" s="16" t="s">
        <v>36</v>
      </c>
      <c r="B395" t="s">
        <v>37</v>
      </c>
      <c r="C395" t="s">
        <v>38</v>
      </c>
      <c r="D395" t="s">
        <v>22</v>
      </c>
      <c r="E395" t="s">
        <v>18</v>
      </c>
      <c r="F395" t="s">
        <v>19</v>
      </c>
      <c r="G395">
        <v>4</v>
      </c>
      <c r="H395">
        <v>3</v>
      </c>
      <c r="I395">
        <v>0</v>
      </c>
      <c r="J395">
        <v>3.2</v>
      </c>
      <c r="K395" t="str" cm="1">
        <f t="array" ref="K39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396" spans="1:11" x14ac:dyDescent="0.35">
      <c r="A396" s="16" t="s">
        <v>36</v>
      </c>
      <c r="B396" t="s">
        <v>37</v>
      </c>
      <c r="C396" t="s">
        <v>38</v>
      </c>
      <c r="D396" t="s">
        <v>26</v>
      </c>
      <c r="E396" t="s">
        <v>14</v>
      </c>
      <c r="F396" t="s">
        <v>19</v>
      </c>
      <c r="G396">
        <v>3</v>
      </c>
      <c r="H396">
        <v>2</v>
      </c>
      <c r="I396">
        <v>0</v>
      </c>
      <c r="J396">
        <v>3.3</v>
      </c>
      <c r="K396" t="str" cm="1">
        <f t="array" ref="K39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397" spans="1:11" x14ac:dyDescent="0.35">
      <c r="A397" s="16" t="s">
        <v>55</v>
      </c>
      <c r="B397" t="s">
        <v>28</v>
      </c>
      <c r="C397" t="s">
        <v>58</v>
      </c>
      <c r="D397" t="s">
        <v>32</v>
      </c>
      <c r="E397" t="s">
        <v>30</v>
      </c>
      <c r="F397" t="s">
        <v>15</v>
      </c>
      <c r="G397">
        <v>5</v>
      </c>
      <c r="H397">
        <v>5</v>
      </c>
      <c r="I397">
        <v>1</v>
      </c>
      <c r="J397">
        <v>3.4</v>
      </c>
      <c r="K397" t="str" cm="1">
        <f t="array" ref="K39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398" spans="1:11" x14ac:dyDescent="0.35">
      <c r="A398" s="16" t="s">
        <v>36</v>
      </c>
      <c r="B398" t="s">
        <v>48</v>
      </c>
      <c r="C398" t="s">
        <v>49</v>
      </c>
      <c r="D398" t="s">
        <v>40</v>
      </c>
      <c r="E398" t="s">
        <v>30</v>
      </c>
      <c r="F398" t="s">
        <v>19</v>
      </c>
      <c r="G398">
        <v>2</v>
      </c>
      <c r="H398">
        <v>2</v>
      </c>
      <c r="I398">
        <v>1</v>
      </c>
      <c r="J398">
        <v>0.8</v>
      </c>
      <c r="K398" t="str" cm="1">
        <f t="array" ref="K39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399" spans="1:11" x14ac:dyDescent="0.35">
      <c r="A399" s="16" t="s">
        <v>23</v>
      </c>
      <c r="B399" t="s">
        <v>16</v>
      </c>
      <c r="C399" t="s">
        <v>17</v>
      </c>
      <c r="D399" t="s">
        <v>26</v>
      </c>
      <c r="E399" t="s">
        <v>30</v>
      </c>
      <c r="F399" t="s">
        <v>19</v>
      </c>
      <c r="G399">
        <v>7</v>
      </c>
      <c r="H399">
        <v>6</v>
      </c>
      <c r="I399">
        <v>0</v>
      </c>
      <c r="J399">
        <v>0.9</v>
      </c>
      <c r="K399" t="str" cm="1">
        <f t="array" ref="K39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400" spans="1:11" x14ac:dyDescent="0.35">
      <c r="A400" s="16" t="s">
        <v>31</v>
      </c>
      <c r="B400" t="s">
        <v>46</v>
      </c>
      <c r="C400" t="s">
        <v>47</v>
      </c>
      <c r="D400" t="s">
        <v>21</v>
      </c>
      <c r="E400" t="s">
        <v>30</v>
      </c>
      <c r="F400" t="s">
        <v>15</v>
      </c>
      <c r="G400">
        <v>1</v>
      </c>
      <c r="H400">
        <v>1</v>
      </c>
      <c r="I400">
        <v>0</v>
      </c>
      <c r="J400">
        <v>3.8</v>
      </c>
      <c r="K400" t="str" cm="1">
        <f t="array" ref="K40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401" spans="1:11" x14ac:dyDescent="0.35">
      <c r="A401" s="16" t="s">
        <v>61</v>
      </c>
      <c r="B401" t="s">
        <v>41</v>
      </c>
      <c r="C401" t="s">
        <v>44</v>
      </c>
      <c r="D401" t="s">
        <v>22</v>
      </c>
      <c r="E401" t="s">
        <v>22</v>
      </c>
      <c r="F401" t="s">
        <v>15</v>
      </c>
      <c r="G401">
        <v>3</v>
      </c>
      <c r="H401">
        <v>3</v>
      </c>
      <c r="I401">
        <v>0</v>
      </c>
      <c r="J401">
        <v>3.2</v>
      </c>
      <c r="K401" t="str" cm="1">
        <f t="array" ref="K40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402" spans="1:11" x14ac:dyDescent="0.35">
      <c r="A402" s="16" t="s">
        <v>50</v>
      </c>
      <c r="B402" t="s">
        <v>48</v>
      </c>
      <c r="C402" t="s">
        <v>49</v>
      </c>
      <c r="D402" t="s">
        <v>32</v>
      </c>
      <c r="E402" t="s">
        <v>18</v>
      </c>
      <c r="F402" t="s">
        <v>15</v>
      </c>
      <c r="G402">
        <v>2</v>
      </c>
      <c r="H402">
        <v>2</v>
      </c>
      <c r="I402">
        <v>0</v>
      </c>
      <c r="J402">
        <v>3.2</v>
      </c>
      <c r="K402" t="str" cm="1">
        <f t="array" ref="K40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403" spans="1:11" x14ac:dyDescent="0.35">
      <c r="A403" s="16" t="s">
        <v>45</v>
      </c>
      <c r="B403" t="s">
        <v>56</v>
      </c>
      <c r="C403" t="s">
        <v>62</v>
      </c>
      <c r="D403" t="s">
        <v>13</v>
      </c>
      <c r="E403" t="s">
        <v>22</v>
      </c>
      <c r="F403" t="s">
        <v>15</v>
      </c>
      <c r="G403">
        <v>4</v>
      </c>
      <c r="H403">
        <v>3</v>
      </c>
      <c r="I403">
        <v>0</v>
      </c>
      <c r="J403">
        <v>2.1</v>
      </c>
      <c r="K403" t="str" cm="1">
        <f t="array" ref="K40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404" spans="1:11" x14ac:dyDescent="0.35">
      <c r="A404" s="16" t="s">
        <v>61</v>
      </c>
      <c r="B404" t="s">
        <v>34</v>
      </c>
      <c r="C404" t="s">
        <v>51</v>
      </c>
      <c r="D404" t="s">
        <v>40</v>
      </c>
      <c r="E404" t="s">
        <v>18</v>
      </c>
      <c r="F404" t="s">
        <v>15</v>
      </c>
      <c r="G404">
        <v>6</v>
      </c>
      <c r="H404">
        <v>6</v>
      </c>
      <c r="I404">
        <v>1</v>
      </c>
      <c r="J404">
        <v>4.5</v>
      </c>
      <c r="K404" t="str" cm="1">
        <f t="array" ref="K40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405" spans="1:11" x14ac:dyDescent="0.35">
      <c r="A405" s="16" t="s">
        <v>33</v>
      </c>
      <c r="B405" t="s">
        <v>37</v>
      </c>
      <c r="C405" t="s">
        <v>39</v>
      </c>
      <c r="D405" t="s">
        <v>13</v>
      </c>
      <c r="E405" t="s">
        <v>18</v>
      </c>
      <c r="F405" t="s">
        <v>15</v>
      </c>
      <c r="G405">
        <v>2</v>
      </c>
      <c r="H405">
        <v>1</v>
      </c>
      <c r="I405">
        <v>0</v>
      </c>
      <c r="J405">
        <v>3.1</v>
      </c>
      <c r="K405" t="str" cm="1">
        <f t="array" ref="K40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406" spans="1:11" x14ac:dyDescent="0.35">
      <c r="A406" s="16" t="s">
        <v>33</v>
      </c>
      <c r="B406" t="s">
        <v>56</v>
      </c>
      <c r="C406" t="s">
        <v>57</v>
      </c>
      <c r="D406" t="s">
        <v>32</v>
      </c>
      <c r="E406" t="s">
        <v>22</v>
      </c>
      <c r="F406" t="s">
        <v>19</v>
      </c>
      <c r="G406">
        <v>9</v>
      </c>
      <c r="H406">
        <v>9</v>
      </c>
      <c r="I406">
        <v>2</v>
      </c>
      <c r="J406">
        <v>3.9</v>
      </c>
      <c r="K406" t="str" cm="1">
        <f t="array" ref="K40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407" spans="1:11" x14ac:dyDescent="0.35">
      <c r="A407" s="16" t="s">
        <v>59</v>
      </c>
      <c r="B407" t="s">
        <v>16</v>
      </c>
      <c r="C407" t="s">
        <v>60</v>
      </c>
      <c r="D407" t="s">
        <v>13</v>
      </c>
      <c r="E407" t="s">
        <v>22</v>
      </c>
      <c r="F407" t="s">
        <v>15</v>
      </c>
      <c r="G407">
        <v>4</v>
      </c>
      <c r="H407">
        <v>4</v>
      </c>
      <c r="I407">
        <v>0</v>
      </c>
      <c r="J407">
        <v>4.5</v>
      </c>
      <c r="K407" t="str" cm="1">
        <f t="array" ref="K40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408" spans="1:11" x14ac:dyDescent="0.35">
      <c r="A408" s="16" t="s">
        <v>43</v>
      </c>
      <c r="B408" t="s">
        <v>37</v>
      </c>
      <c r="C408" t="s">
        <v>38</v>
      </c>
      <c r="D408" t="s">
        <v>13</v>
      </c>
      <c r="E408" t="s">
        <v>22</v>
      </c>
      <c r="F408" t="s">
        <v>19</v>
      </c>
      <c r="G408">
        <v>5</v>
      </c>
      <c r="H408">
        <v>5</v>
      </c>
      <c r="I408">
        <v>0</v>
      </c>
      <c r="J408">
        <v>1.9</v>
      </c>
      <c r="K408" t="str" cm="1">
        <f t="array" ref="K40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09" spans="1:11" x14ac:dyDescent="0.35">
      <c r="A409" s="16" t="s">
        <v>55</v>
      </c>
      <c r="B409" t="s">
        <v>37</v>
      </c>
      <c r="C409" t="s">
        <v>39</v>
      </c>
      <c r="D409" t="s">
        <v>40</v>
      </c>
      <c r="E409" t="s">
        <v>53</v>
      </c>
      <c r="F409" t="s">
        <v>19</v>
      </c>
      <c r="G409">
        <v>8</v>
      </c>
      <c r="H409">
        <v>6</v>
      </c>
      <c r="I409">
        <v>1</v>
      </c>
      <c r="J409">
        <v>3.3</v>
      </c>
      <c r="K409" t="str" cm="1">
        <f t="array" ref="K40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410" spans="1:11" x14ac:dyDescent="0.35">
      <c r="A410" s="16" t="s">
        <v>10</v>
      </c>
      <c r="B410" t="s">
        <v>46</v>
      </c>
      <c r="C410" t="s">
        <v>54</v>
      </c>
      <c r="D410" t="s">
        <v>22</v>
      </c>
      <c r="E410" t="s">
        <v>53</v>
      </c>
      <c r="F410" t="s">
        <v>15</v>
      </c>
      <c r="G410">
        <v>2</v>
      </c>
      <c r="H410">
        <v>2</v>
      </c>
      <c r="I410">
        <v>0</v>
      </c>
      <c r="J410">
        <v>1.3</v>
      </c>
      <c r="K410" t="str" cm="1">
        <f t="array" ref="K41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411" spans="1:11" x14ac:dyDescent="0.35">
      <c r="A411" s="16" t="s">
        <v>23</v>
      </c>
      <c r="B411" t="s">
        <v>24</v>
      </c>
      <c r="C411" t="s">
        <v>64</v>
      </c>
      <c r="D411" t="s">
        <v>22</v>
      </c>
      <c r="E411" t="s">
        <v>53</v>
      </c>
      <c r="F411" t="s">
        <v>15</v>
      </c>
      <c r="G411">
        <v>7</v>
      </c>
      <c r="H411">
        <v>7</v>
      </c>
      <c r="I411">
        <v>0</v>
      </c>
      <c r="J411">
        <v>1.4</v>
      </c>
      <c r="K411" t="str" cm="1">
        <f t="array" ref="K41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412" spans="1:11" x14ac:dyDescent="0.35">
      <c r="A412" s="16" t="s">
        <v>61</v>
      </c>
      <c r="B412" t="s">
        <v>56</v>
      </c>
      <c r="C412" t="s">
        <v>57</v>
      </c>
      <c r="D412" t="s">
        <v>22</v>
      </c>
      <c r="E412" t="s">
        <v>53</v>
      </c>
      <c r="F412" t="s">
        <v>19</v>
      </c>
      <c r="G412">
        <v>5</v>
      </c>
      <c r="H412">
        <v>5</v>
      </c>
      <c r="I412">
        <v>0</v>
      </c>
      <c r="J412">
        <v>1.8</v>
      </c>
      <c r="K412" t="str" cm="1">
        <f t="array" ref="K41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413" spans="1:11" x14ac:dyDescent="0.35">
      <c r="A413" s="16" t="s">
        <v>20</v>
      </c>
      <c r="B413" t="s">
        <v>34</v>
      </c>
      <c r="C413" t="s">
        <v>35</v>
      </c>
      <c r="D413" t="s">
        <v>13</v>
      </c>
      <c r="E413" t="s">
        <v>27</v>
      </c>
      <c r="F413" t="s">
        <v>15</v>
      </c>
      <c r="G413">
        <v>8</v>
      </c>
      <c r="H413">
        <v>7</v>
      </c>
      <c r="I413">
        <v>1</v>
      </c>
      <c r="J413">
        <v>2.8</v>
      </c>
      <c r="K413" t="str" cm="1">
        <f t="array" ref="K41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414" spans="1:11" x14ac:dyDescent="0.35">
      <c r="A414" s="16" t="s">
        <v>61</v>
      </c>
      <c r="B414" t="s">
        <v>41</v>
      </c>
      <c r="C414" t="s">
        <v>42</v>
      </c>
      <c r="D414" t="s">
        <v>40</v>
      </c>
      <c r="E414" t="s">
        <v>22</v>
      </c>
      <c r="F414" t="s">
        <v>15</v>
      </c>
      <c r="G414">
        <v>2</v>
      </c>
      <c r="H414">
        <v>1</v>
      </c>
      <c r="I414">
        <v>0</v>
      </c>
      <c r="J414">
        <v>3.2</v>
      </c>
      <c r="K414" t="str" cm="1">
        <f t="array" ref="K41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415" spans="1:11" x14ac:dyDescent="0.35">
      <c r="A415" s="16" t="s">
        <v>43</v>
      </c>
      <c r="B415" t="s">
        <v>16</v>
      </c>
      <c r="C415" t="s">
        <v>17</v>
      </c>
      <c r="D415" t="s">
        <v>13</v>
      </c>
      <c r="E415" t="s">
        <v>22</v>
      </c>
      <c r="F415" t="s">
        <v>15</v>
      </c>
      <c r="G415">
        <v>4</v>
      </c>
      <c r="H415">
        <v>4</v>
      </c>
      <c r="I415">
        <v>0</v>
      </c>
      <c r="J415">
        <v>2.1</v>
      </c>
      <c r="K415" t="str" cm="1">
        <f t="array" ref="K41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16" spans="1:11" x14ac:dyDescent="0.35">
      <c r="A416" s="16" t="s">
        <v>20</v>
      </c>
      <c r="B416" t="s">
        <v>41</v>
      </c>
      <c r="C416" t="s">
        <v>44</v>
      </c>
      <c r="D416" t="s">
        <v>32</v>
      </c>
      <c r="E416" t="s">
        <v>30</v>
      </c>
      <c r="F416" t="s">
        <v>15</v>
      </c>
      <c r="G416">
        <v>3</v>
      </c>
      <c r="H416">
        <v>3</v>
      </c>
      <c r="I416">
        <v>0</v>
      </c>
      <c r="J416">
        <v>3.3</v>
      </c>
      <c r="K416" t="str" cm="1">
        <f t="array" ref="K41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417" spans="1:11" x14ac:dyDescent="0.35">
      <c r="A417" s="16" t="s">
        <v>33</v>
      </c>
      <c r="B417" t="s">
        <v>24</v>
      </c>
      <c r="C417" t="s">
        <v>25</v>
      </c>
      <c r="D417" t="s">
        <v>22</v>
      </c>
      <c r="E417" t="s">
        <v>22</v>
      </c>
      <c r="F417" t="s">
        <v>19</v>
      </c>
      <c r="G417">
        <v>6</v>
      </c>
      <c r="H417">
        <v>6</v>
      </c>
      <c r="I417">
        <v>0</v>
      </c>
      <c r="J417">
        <v>2.8</v>
      </c>
      <c r="K417" t="str" cm="1">
        <f t="array" ref="K41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418" spans="1:11" x14ac:dyDescent="0.35">
      <c r="A418" s="16" t="s">
        <v>61</v>
      </c>
      <c r="B418" t="s">
        <v>16</v>
      </c>
      <c r="C418" t="s">
        <v>17</v>
      </c>
      <c r="D418" t="s">
        <v>22</v>
      </c>
      <c r="E418" t="s">
        <v>30</v>
      </c>
      <c r="F418" t="s">
        <v>15</v>
      </c>
      <c r="G418">
        <v>5</v>
      </c>
      <c r="H418">
        <v>4</v>
      </c>
      <c r="I418">
        <v>1</v>
      </c>
      <c r="J418">
        <v>0.8</v>
      </c>
      <c r="K418" t="str" cm="1">
        <f t="array" ref="K41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419" spans="1:11" x14ac:dyDescent="0.35">
      <c r="A419" s="16" t="s">
        <v>10</v>
      </c>
      <c r="B419" t="s">
        <v>56</v>
      </c>
      <c r="C419" t="s">
        <v>57</v>
      </c>
      <c r="D419" t="s">
        <v>26</v>
      </c>
      <c r="E419" t="s">
        <v>30</v>
      </c>
      <c r="F419" t="s">
        <v>15</v>
      </c>
      <c r="G419">
        <v>4</v>
      </c>
      <c r="H419">
        <v>4</v>
      </c>
      <c r="I419">
        <v>0</v>
      </c>
      <c r="J419">
        <v>2.7</v>
      </c>
      <c r="K419" t="str" cm="1">
        <f t="array" ref="K41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420" spans="1:11" x14ac:dyDescent="0.35">
      <c r="A420" s="16" t="s">
        <v>20</v>
      </c>
      <c r="B420" t="s">
        <v>37</v>
      </c>
      <c r="C420" t="s">
        <v>38</v>
      </c>
      <c r="D420" t="s">
        <v>21</v>
      </c>
      <c r="E420" t="s">
        <v>18</v>
      </c>
      <c r="F420" t="s">
        <v>19</v>
      </c>
      <c r="G420">
        <v>7</v>
      </c>
      <c r="H420">
        <v>5</v>
      </c>
      <c r="I420">
        <v>0</v>
      </c>
      <c r="J420">
        <v>3.2</v>
      </c>
      <c r="K420" t="str" cm="1">
        <f t="array" ref="K42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421" spans="1:11" x14ac:dyDescent="0.35">
      <c r="A421" s="16" t="s">
        <v>20</v>
      </c>
      <c r="B421" t="s">
        <v>46</v>
      </c>
      <c r="C421" t="s">
        <v>54</v>
      </c>
      <c r="D421" t="s">
        <v>40</v>
      </c>
      <c r="E421" t="s">
        <v>27</v>
      </c>
      <c r="F421" t="s">
        <v>15</v>
      </c>
      <c r="G421">
        <v>3</v>
      </c>
      <c r="H421">
        <v>3</v>
      </c>
      <c r="I421">
        <v>0</v>
      </c>
      <c r="J421">
        <v>3.4</v>
      </c>
      <c r="K421" t="str" cm="1">
        <f t="array" ref="K42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422" spans="1:11" x14ac:dyDescent="0.35">
      <c r="A422" s="16" t="s">
        <v>36</v>
      </c>
      <c r="B422" t="s">
        <v>41</v>
      </c>
      <c r="C422" t="s">
        <v>42</v>
      </c>
      <c r="D422" t="s">
        <v>26</v>
      </c>
      <c r="E422" t="s">
        <v>18</v>
      </c>
      <c r="F422" t="s">
        <v>15</v>
      </c>
      <c r="G422">
        <v>5</v>
      </c>
      <c r="H422">
        <v>4</v>
      </c>
      <c r="I422">
        <v>1</v>
      </c>
      <c r="J422">
        <v>2.4</v>
      </c>
      <c r="K422" t="str" cm="1">
        <f t="array" ref="K42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423" spans="1:11" x14ac:dyDescent="0.35">
      <c r="A423" s="16" t="s">
        <v>23</v>
      </c>
      <c r="B423" t="s">
        <v>46</v>
      </c>
      <c r="C423" t="s">
        <v>54</v>
      </c>
      <c r="D423" t="s">
        <v>13</v>
      </c>
      <c r="E423" t="s">
        <v>14</v>
      </c>
      <c r="F423" t="s">
        <v>19</v>
      </c>
      <c r="G423">
        <v>7</v>
      </c>
      <c r="H423">
        <v>7</v>
      </c>
      <c r="I423">
        <v>0</v>
      </c>
      <c r="J423">
        <v>3.2</v>
      </c>
      <c r="K423" t="str" cm="1">
        <f t="array" ref="K42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424" spans="1:11" x14ac:dyDescent="0.35">
      <c r="A424" s="16" t="s">
        <v>55</v>
      </c>
      <c r="B424" t="s">
        <v>48</v>
      </c>
      <c r="C424" t="s">
        <v>63</v>
      </c>
      <c r="D424" t="s">
        <v>13</v>
      </c>
      <c r="E424" t="s">
        <v>18</v>
      </c>
      <c r="F424" t="s">
        <v>15</v>
      </c>
      <c r="G424">
        <v>4</v>
      </c>
      <c r="H424">
        <v>4</v>
      </c>
      <c r="I424">
        <v>0</v>
      </c>
      <c r="J424">
        <v>1.8</v>
      </c>
      <c r="K424" t="str" cm="1">
        <f t="array" ref="K42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425" spans="1:11" x14ac:dyDescent="0.35">
      <c r="A425" s="16" t="s">
        <v>45</v>
      </c>
      <c r="B425" t="s">
        <v>56</v>
      </c>
      <c r="C425" t="s">
        <v>57</v>
      </c>
      <c r="D425" t="s">
        <v>22</v>
      </c>
      <c r="E425" t="s">
        <v>22</v>
      </c>
      <c r="F425" t="s">
        <v>19</v>
      </c>
      <c r="G425">
        <v>9</v>
      </c>
      <c r="H425">
        <v>8</v>
      </c>
      <c r="I425">
        <v>0</v>
      </c>
      <c r="J425">
        <v>2.7</v>
      </c>
      <c r="K425" t="str" cm="1">
        <f t="array" ref="K42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426" spans="1:11" x14ac:dyDescent="0.35">
      <c r="A426" s="16" t="s">
        <v>23</v>
      </c>
      <c r="B426" t="s">
        <v>34</v>
      </c>
      <c r="C426" t="s">
        <v>35</v>
      </c>
      <c r="D426" t="s">
        <v>22</v>
      </c>
      <c r="E426" t="s">
        <v>30</v>
      </c>
      <c r="F426" t="s">
        <v>19</v>
      </c>
      <c r="G426">
        <v>7</v>
      </c>
      <c r="H426">
        <v>6</v>
      </c>
      <c r="I426">
        <v>0</v>
      </c>
      <c r="J426">
        <v>2.8</v>
      </c>
      <c r="K426" t="str" cm="1">
        <f t="array" ref="K42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427" spans="1:11" x14ac:dyDescent="0.35">
      <c r="A427" s="16" t="s">
        <v>10</v>
      </c>
      <c r="B427" t="s">
        <v>37</v>
      </c>
      <c r="C427" t="s">
        <v>38</v>
      </c>
      <c r="D427" t="s">
        <v>40</v>
      </c>
      <c r="E427" t="s">
        <v>18</v>
      </c>
      <c r="F427" t="s">
        <v>19</v>
      </c>
      <c r="G427">
        <v>6</v>
      </c>
      <c r="H427">
        <v>5</v>
      </c>
      <c r="I427">
        <v>0</v>
      </c>
      <c r="J427">
        <v>4.2</v>
      </c>
      <c r="K427" t="str" cm="1">
        <f t="array" ref="K42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428" spans="1:11" x14ac:dyDescent="0.35">
      <c r="A428" s="16" t="s">
        <v>43</v>
      </c>
      <c r="B428" t="s">
        <v>24</v>
      </c>
      <c r="C428" t="s">
        <v>25</v>
      </c>
      <c r="D428" t="s">
        <v>13</v>
      </c>
      <c r="E428" t="s">
        <v>53</v>
      </c>
      <c r="F428" t="s">
        <v>15</v>
      </c>
      <c r="G428">
        <v>2</v>
      </c>
      <c r="H428">
        <v>1</v>
      </c>
      <c r="I428">
        <v>1</v>
      </c>
      <c r="J428">
        <v>4.5</v>
      </c>
      <c r="K428" t="str" cm="1">
        <f t="array" ref="K42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29" spans="1:11" x14ac:dyDescent="0.35">
      <c r="A429" s="16" t="s">
        <v>33</v>
      </c>
      <c r="B429" t="s">
        <v>41</v>
      </c>
      <c r="C429" t="s">
        <v>44</v>
      </c>
      <c r="D429" t="s">
        <v>32</v>
      </c>
      <c r="E429" t="s">
        <v>27</v>
      </c>
      <c r="F429" t="s">
        <v>19</v>
      </c>
      <c r="G429">
        <v>8</v>
      </c>
      <c r="H429">
        <v>7</v>
      </c>
      <c r="I429">
        <v>0</v>
      </c>
      <c r="J429">
        <v>2.2999999999999998</v>
      </c>
      <c r="K429" t="str" cm="1">
        <f t="array" ref="K42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430" spans="1:11" x14ac:dyDescent="0.35">
      <c r="A430" s="16" t="s">
        <v>43</v>
      </c>
      <c r="B430" t="s">
        <v>46</v>
      </c>
      <c r="C430" t="s">
        <v>54</v>
      </c>
      <c r="D430" t="s">
        <v>13</v>
      </c>
      <c r="E430" t="s">
        <v>53</v>
      </c>
      <c r="F430" t="s">
        <v>15</v>
      </c>
      <c r="G430">
        <v>5</v>
      </c>
      <c r="H430">
        <v>5</v>
      </c>
      <c r="I430">
        <v>0</v>
      </c>
      <c r="J430">
        <v>1.8</v>
      </c>
      <c r="K430" t="str" cm="1">
        <f t="array" ref="K43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31" spans="1:11" x14ac:dyDescent="0.35">
      <c r="A431" s="16" t="s">
        <v>45</v>
      </c>
      <c r="B431" t="s">
        <v>34</v>
      </c>
      <c r="C431" t="s">
        <v>51</v>
      </c>
      <c r="D431" t="s">
        <v>21</v>
      </c>
      <c r="E431" t="s">
        <v>30</v>
      </c>
      <c r="F431" t="s">
        <v>19</v>
      </c>
      <c r="G431">
        <v>4</v>
      </c>
      <c r="H431">
        <v>4</v>
      </c>
      <c r="I431">
        <v>0</v>
      </c>
      <c r="J431">
        <v>2.7</v>
      </c>
      <c r="K431" t="str" cm="1">
        <f t="array" ref="K43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432" spans="1:11" x14ac:dyDescent="0.35">
      <c r="A432" s="16" t="s">
        <v>50</v>
      </c>
      <c r="B432" t="s">
        <v>24</v>
      </c>
      <c r="C432" t="s">
        <v>25</v>
      </c>
      <c r="D432" t="s">
        <v>13</v>
      </c>
      <c r="E432" t="s">
        <v>18</v>
      </c>
      <c r="F432" t="s">
        <v>19</v>
      </c>
      <c r="G432">
        <v>2</v>
      </c>
      <c r="H432">
        <v>2</v>
      </c>
      <c r="I432">
        <v>0</v>
      </c>
      <c r="J432">
        <v>3.5</v>
      </c>
      <c r="K432" t="str" cm="1">
        <f t="array" ref="K43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433" spans="1:11" x14ac:dyDescent="0.35">
      <c r="A433" s="16" t="s">
        <v>36</v>
      </c>
      <c r="B433" t="s">
        <v>56</v>
      </c>
      <c r="C433" t="s">
        <v>62</v>
      </c>
      <c r="D433" t="s">
        <v>13</v>
      </c>
      <c r="E433" t="s">
        <v>22</v>
      </c>
      <c r="F433" t="s">
        <v>19</v>
      </c>
      <c r="G433">
        <v>3</v>
      </c>
      <c r="H433">
        <v>3</v>
      </c>
      <c r="I433">
        <v>0</v>
      </c>
      <c r="J433">
        <v>2.6</v>
      </c>
      <c r="K433" t="str" cm="1">
        <f t="array" ref="K43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434" spans="1:11" x14ac:dyDescent="0.35">
      <c r="A434" s="16" t="s">
        <v>43</v>
      </c>
      <c r="B434" t="s">
        <v>46</v>
      </c>
      <c r="C434" t="s">
        <v>47</v>
      </c>
      <c r="D434" t="s">
        <v>32</v>
      </c>
      <c r="E434" t="s">
        <v>18</v>
      </c>
      <c r="F434" t="s">
        <v>15</v>
      </c>
      <c r="G434">
        <v>2</v>
      </c>
      <c r="H434">
        <v>2</v>
      </c>
      <c r="I434">
        <v>0</v>
      </c>
      <c r="J434">
        <v>3.1</v>
      </c>
      <c r="K434" t="str" cm="1">
        <f t="array" ref="K43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35" spans="1:11" x14ac:dyDescent="0.35">
      <c r="A435" s="16" t="s">
        <v>59</v>
      </c>
      <c r="B435" t="s">
        <v>37</v>
      </c>
      <c r="C435" t="s">
        <v>39</v>
      </c>
      <c r="D435" t="s">
        <v>21</v>
      </c>
      <c r="E435" t="s">
        <v>53</v>
      </c>
      <c r="F435" t="s">
        <v>15</v>
      </c>
      <c r="G435">
        <v>7</v>
      </c>
      <c r="H435">
        <v>6</v>
      </c>
      <c r="I435">
        <v>0</v>
      </c>
      <c r="J435">
        <v>2.5</v>
      </c>
      <c r="K435" t="str" cm="1">
        <f t="array" ref="K43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436" spans="1:11" x14ac:dyDescent="0.35">
      <c r="A436" s="16" t="s">
        <v>43</v>
      </c>
      <c r="B436" t="s">
        <v>56</v>
      </c>
      <c r="C436" t="s">
        <v>62</v>
      </c>
      <c r="D436" t="s">
        <v>32</v>
      </c>
      <c r="E436" t="s">
        <v>27</v>
      </c>
      <c r="F436" t="s">
        <v>15</v>
      </c>
      <c r="G436">
        <v>7</v>
      </c>
      <c r="H436">
        <v>7</v>
      </c>
      <c r="I436">
        <v>0</v>
      </c>
      <c r="J436">
        <v>3.7</v>
      </c>
      <c r="K436" t="str" cm="1">
        <f t="array" ref="K43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37" spans="1:11" x14ac:dyDescent="0.35">
      <c r="A437" s="16" t="s">
        <v>43</v>
      </c>
      <c r="B437" t="s">
        <v>37</v>
      </c>
      <c r="C437" t="s">
        <v>39</v>
      </c>
      <c r="D437" t="s">
        <v>26</v>
      </c>
      <c r="E437" t="s">
        <v>30</v>
      </c>
      <c r="F437" t="s">
        <v>19</v>
      </c>
      <c r="G437">
        <v>3</v>
      </c>
      <c r="H437">
        <v>3</v>
      </c>
      <c r="I437">
        <v>0</v>
      </c>
      <c r="J437">
        <v>2.2000000000000002</v>
      </c>
      <c r="K437" t="str" cm="1">
        <f t="array" ref="K43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38" spans="1:11" x14ac:dyDescent="0.35">
      <c r="A438" s="16" t="s">
        <v>36</v>
      </c>
      <c r="B438" t="s">
        <v>28</v>
      </c>
      <c r="C438" t="s">
        <v>58</v>
      </c>
      <c r="D438" t="s">
        <v>40</v>
      </c>
      <c r="E438" t="s">
        <v>22</v>
      </c>
      <c r="F438" t="s">
        <v>15</v>
      </c>
      <c r="G438">
        <v>5</v>
      </c>
      <c r="H438">
        <v>5</v>
      </c>
      <c r="I438">
        <v>0</v>
      </c>
      <c r="J438">
        <v>4.7</v>
      </c>
      <c r="K438" t="str" cm="1">
        <f t="array" ref="K43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439" spans="1:11" x14ac:dyDescent="0.35">
      <c r="A439" s="16" t="s">
        <v>23</v>
      </c>
      <c r="B439" t="s">
        <v>16</v>
      </c>
      <c r="C439" t="s">
        <v>17</v>
      </c>
      <c r="D439" t="s">
        <v>32</v>
      </c>
      <c r="E439" t="s">
        <v>30</v>
      </c>
      <c r="F439" t="s">
        <v>19</v>
      </c>
      <c r="G439">
        <v>1</v>
      </c>
      <c r="H439">
        <v>1</v>
      </c>
      <c r="I439">
        <v>0</v>
      </c>
      <c r="J439">
        <v>2.1</v>
      </c>
      <c r="K439" t="str" cm="1">
        <f t="array" ref="K43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440" spans="1:11" x14ac:dyDescent="0.35">
      <c r="A440" s="16" t="s">
        <v>43</v>
      </c>
      <c r="B440" t="s">
        <v>48</v>
      </c>
      <c r="C440" t="s">
        <v>49</v>
      </c>
      <c r="D440" t="s">
        <v>32</v>
      </c>
      <c r="E440" t="s">
        <v>53</v>
      </c>
      <c r="F440" t="s">
        <v>15</v>
      </c>
      <c r="G440">
        <v>6</v>
      </c>
      <c r="H440">
        <v>6</v>
      </c>
      <c r="I440">
        <v>0</v>
      </c>
      <c r="J440">
        <v>4</v>
      </c>
      <c r="K440" t="str" cm="1">
        <f t="array" ref="K44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41" spans="1:11" x14ac:dyDescent="0.35">
      <c r="A441" s="16" t="s">
        <v>10</v>
      </c>
      <c r="B441" t="s">
        <v>41</v>
      </c>
      <c r="C441" t="s">
        <v>44</v>
      </c>
      <c r="D441" t="s">
        <v>26</v>
      </c>
      <c r="E441" t="s">
        <v>22</v>
      </c>
      <c r="F441" t="s">
        <v>19</v>
      </c>
      <c r="G441">
        <v>6</v>
      </c>
      <c r="H441">
        <v>6</v>
      </c>
      <c r="I441">
        <v>0</v>
      </c>
      <c r="J441">
        <v>3.5</v>
      </c>
      <c r="K441" t="str" cm="1">
        <f t="array" ref="K44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442" spans="1:11" x14ac:dyDescent="0.35">
      <c r="A442" s="16" t="s">
        <v>23</v>
      </c>
      <c r="B442" t="s">
        <v>56</v>
      </c>
      <c r="C442" t="s">
        <v>62</v>
      </c>
      <c r="D442" t="s">
        <v>32</v>
      </c>
      <c r="E442" t="s">
        <v>18</v>
      </c>
      <c r="F442" t="s">
        <v>15</v>
      </c>
      <c r="G442">
        <v>9</v>
      </c>
      <c r="H442">
        <v>8</v>
      </c>
      <c r="I442">
        <v>0</v>
      </c>
      <c r="J442">
        <v>1.2</v>
      </c>
      <c r="K442" t="str" cm="1">
        <f t="array" ref="K44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443" spans="1:11" x14ac:dyDescent="0.35">
      <c r="A443" s="16" t="s">
        <v>36</v>
      </c>
      <c r="B443" t="s">
        <v>41</v>
      </c>
      <c r="C443" t="s">
        <v>44</v>
      </c>
      <c r="D443" t="s">
        <v>26</v>
      </c>
      <c r="E443" t="s">
        <v>14</v>
      </c>
      <c r="F443" t="s">
        <v>15</v>
      </c>
      <c r="G443">
        <v>8</v>
      </c>
      <c r="H443">
        <v>6</v>
      </c>
      <c r="I443">
        <v>0</v>
      </c>
      <c r="J443">
        <v>2.2000000000000002</v>
      </c>
      <c r="K443" t="str" cm="1">
        <f t="array" ref="K44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444" spans="1:11" x14ac:dyDescent="0.35">
      <c r="A444" s="16" t="s">
        <v>45</v>
      </c>
      <c r="B444" t="s">
        <v>48</v>
      </c>
      <c r="C444" t="s">
        <v>63</v>
      </c>
      <c r="D444" t="s">
        <v>26</v>
      </c>
      <c r="E444" t="s">
        <v>53</v>
      </c>
      <c r="F444" t="s">
        <v>19</v>
      </c>
      <c r="G444">
        <v>7</v>
      </c>
      <c r="H444">
        <v>7</v>
      </c>
      <c r="I444">
        <v>2</v>
      </c>
      <c r="J444">
        <v>3.9</v>
      </c>
      <c r="K444" t="str" cm="1">
        <f t="array" ref="K44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445" spans="1:11" x14ac:dyDescent="0.35">
      <c r="A445" s="16" t="s">
        <v>45</v>
      </c>
      <c r="B445" t="s">
        <v>16</v>
      </c>
      <c r="C445" t="s">
        <v>17</v>
      </c>
      <c r="D445" t="s">
        <v>40</v>
      </c>
      <c r="E445" t="s">
        <v>27</v>
      </c>
      <c r="F445" t="s">
        <v>19</v>
      </c>
      <c r="G445">
        <v>7</v>
      </c>
      <c r="H445">
        <v>6</v>
      </c>
      <c r="I445">
        <v>0</v>
      </c>
      <c r="J445">
        <v>3.5</v>
      </c>
      <c r="K445" t="str" cm="1">
        <f t="array" ref="K44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446" spans="1:11" x14ac:dyDescent="0.35">
      <c r="A446" s="16" t="s">
        <v>36</v>
      </c>
      <c r="B446" t="s">
        <v>48</v>
      </c>
      <c r="C446" t="s">
        <v>63</v>
      </c>
      <c r="D446" t="s">
        <v>13</v>
      </c>
      <c r="E446" t="s">
        <v>53</v>
      </c>
      <c r="F446" t="s">
        <v>19</v>
      </c>
      <c r="G446">
        <v>5</v>
      </c>
      <c r="H446">
        <v>5</v>
      </c>
      <c r="I446">
        <v>0</v>
      </c>
      <c r="J446">
        <v>2.2000000000000002</v>
      </c>
      <c r="K446" t="str" cm="1">
        <f t="array" ref="K44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447" spans="1:11" x14ac:dyDescent="0.35">
      <c r="A447" s="16" t="s">
        <v>33</v>
      </c>
      <c r="B447" t="s">
        <v>11</v>
      </c>
      <c r="C447" t="s">
        <v>52</v>
      </c>
      <c r="D447" t="s">
        <v>21</v>
      </c>
      <c r="E447" t="s">
        <v>30</v>
      </c>
      <c r="F447" t="s">
        <v>15</v>
      </c>
      <c r="G447">
        <v>4</v>
      </c>
      <c r="H447">
        <v>4</v>
      </c>
      <c r="I447">
        <v>0</v>
      </c>
      <c r="J447">
        <v>4.2</v>
      </c>
      <c r="K447" t="str" cm="1">
        <f t="array" ref="K44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448" spans="1:11" x14ac:dyDescent="0.35">
      <c r="A448" s="16" t="s">
        <v>20</v>
      </c>
      <c r="B448" t="s">
        <v>48</v>
      </c>
      <c r="C448" t="s">
        <v>49</v>
      </c>
      <c r="D448" t="s">
        <v>26</v>
      </c>
      <c r="E448" t="s">
        <v>22</v>
      </c>
      <c r="F448" t="s">
        <v>15</v>
      </c>
      <c r="G448">
        <v>3</v>
      </c>
      <c r="H448">
        <v>3</v>
      </c>
      <c r="I448">
        <v>0</v>
      </c>
      <c r="J448">
        <v>3.2</v>
      </c>
      <c r="K448" t="str" cm="1">
        <f t="array" ref="K44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449" spans="1:11" x14ac:dyDescent="0.35">
      <c r="A449" s="16" t="s">
        <v>36</v>
      </c>
      <c r="B449" t="s">
        <v>28</v>
      </c>
      <c r="C449" t="s">
        <v>29</v>
      </c>
      <c r="D449" t="s">
        <v>26</v>
      </c>
      <c r="E449" t="s">
        <v>22</v>
      </c>
      <c r="F449" t="s">
        <v>15</v>
      </c>
      <c r="G449">
        <v>5</v>
      </c>
      <c r="H449">
        <v>5</v>
      </c>
      <c r="I449">
        <v>0</v>
      </c>
      <c r="J449">
        <v>3.1</v>
      </c>
      <c r="K449" t="str" cm="1">
        <f t="array" ref="K44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450" spans="1:11" x14ac:dyDescent="0.35">
      <c r="A450" s="16" t="s">
        <v>50</v>
      </c>
      <c r="B450" t="s">
        <v>34</v>
      </c>
      <c r="C450" t="s">
        <v>35</v>
      </c>
      <c r="D450" t="s">
        <v>26</v>
      </c>
      <c r="E450" t="s">
        <v>27</v>
      </c>
      <c r="F450" t="s">
        <v>15</v>
      </c>
      <c r="G450">
        <v>5</v>
      </c>
      <c r="H450">
        <v>5</v>
      </c>
      <c r="I450">
        <v>0</v>
      </c>
      <c r="J450">
        <v>3.1</v>
      </c>
      <c r="K450" t="str" cm="1">
        <f t="array" ref="K45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451" spans="1:11" x14ac:dyDescent="0.35">
      <c r="A451" s="16" t="s">
        <v>31</v>
      </c>
      <c r="B451" t="s">
        <v>46</v>
      </c>
      <c r="C451" t="s">
        <v>47</v>
      </c>
      <c r="D451" t="s">
        <v>21</v>
      </c>
      <c r="E451" t="s">
        <v>22</v>
      </c>
      <c r="F451" t="s">
        <v>19</v>
      </c>
      <c r="G451">
        <v>4</v>
      </c>
      <c r="H451">
        <v>4</v>
      </c>
      <c r="I451">
        <v>0</v>
      </c>
      <c r="J451">
        <v>3.2</v>
      </c>
      <c r="K451" t="str" cm="1">
        <f t="array" ref="K45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452" spans="1:11" x14ac:dyDescent="0.35">
      <c r="A452" s="16" t="s">
        <v>33</v>
      </c>
      <c r="B452" t="s">
        <v>28</v>
      </c>
      <c r="C452" t="s">
        <v>29</v>
      </c>
      <c r="D452" t="s">
        <v>32</v>
      </c>
      <c r="E452" t="s">
        <v>22</v>
      </c>
      <c r="F452" t="s">
        <v>19</v>
      </c>
      <c r="G452">
        <v>3</v>
      </c>
      <c r="H452">
        <v>3</v>
      </c>
      <c r="I452">
        <v>0</v>
      </c>
      <c r="J452">
        <v>3.7</v>
      </c>
      <c r="K452" t="str" cm="1">
        <f t="array" ref="K45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453" spans="1:11" x14ac:dyDescent="0.35">
      <c r="A453" s="16" t="s">
        <v>23</v>
      </c>
      <c r="B453" t="s">
        <v>37</v>
      </c>
      <c r="C453" t="s">
        <v>38</v>
      </c>
      <c r="D453" t="s">
        <v>21</v>
      </c>
      <c r="E453" t="s">
        <v>22</v>
      </c>
      <c r="F453" t="s">
        <v>15</v>
      </c>
      <c r="G453">
        <v>2</v>
      </c>
      <c r="H453">
        <v>1</v>
      </c>
      <c r="I453">
        <v>1</v>
      </c>
      <c r="J453">
        <v>4.9000000000000004</v>
      </c>
      <c r="K453" t="str" cm="1">
        <f t="array" ref="K45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454" spans="1:11" x14ac:dyDescent="0.35">
      <c r="A454" s="16" t="s">
        <v>23</v>
      </c>
      <c r="B454" t="s">
        <v>34</v>
      </c>
      <c r="C454" t="s">
        <v>51</v>
      </c>
      <c r="D454" t="s">
        <v>26</v>
      </c>
      <c r="E454" t="s">
        <v>27</v>
      </c>
      <c r="F454" t="s">
        <v>15</v>
      </c>
      <c r="G454">
        <v>5</v>
      </c>
      <c r="H454">
        <v>5</v>
      </c>
      <c r="I454">
        <v>0</v>
      </c>
      <c r="J454">
        <v>1.7</v>
      </c>
      <c r="K454" t="str" cm="1">
        <f t="array" ref="K45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455" spans="1:11" x14ac:dyDescent="0.35">
      <c r="A455" s="16" t="s">
        <v>43</v>
      </c>
      <c r="B455" t="s">
        <v>11</v>
      </c>
      <c r="C455" t="s">
        <v>12</v>
      </c>
      <c r="D455" t="s">
        <v>26</v>
      </c>
      <c r="E455" t="s">
        <v>53</v>
      </c>
      <c r="F455" t="s">
        <v>15</v>
      </c>
      <c r="G455">
        <v>2</v>
      </c>
      <c r="H455">
        <v>1</v>
      </c>
      <c r="I455">
        <v>0</v>
      </c>
      <c r="J455">
        <v>2.2000000000000002</v>
      </c>
      <c r="K455" t="str" cm="1">
        <f t="array" ref="K45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56" spans="1:11" x14ac:dyDescent="0.35">
      <c r="A456" s="16" t="s">
        <v>61</v>
      </c>
      <c r="B456" t="s">
        <v>46</v>
      </c>
      <c r="C456" t="s">
        <v>54</v>
      </c>
      <c r="D456" t="s">
        <v>13</v>
      </c>
      <c r="E456" t="s">
        <v>27</v>
      </c>
      <c r="F456" t="s">
        <v>15</v>
      </c>
      <c r="G456">
        <v>4</v>
      </c>
      <c r="H456">
        <v>4</v>
      </c>
      <c r="I456">
        <v>0</v>
      </c>
      <c r="J456">
        <v>2.7</v>
      </c>
      <c r="K456" t="str" cm="1">
        <f t="array" ref="K45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457" spans="1:11" x14ac:dyDescent="0.35">
      <c r="A457" s="16" t="s">
        <v>59</v>
      </c>
      <c r="B457" t="s">
        <v>34</v>
      </c>
      <c r="C457" t="s">
        <v>51</v>
      </c>
      <c r="D457" t="s">
        <v>13</v>
      </c>
      <c r="E457" t="s">
        <v>27</v>
      </c>
      <c r="F457" t="s">
        <v>19</v>
      </c>
      <c r="G457">
        <v>4</v>
      </c>
      <c r="H457">
        <v>3</v>
      </c>
      <c r="I457">
        <v>2</v>
      </c>
      <c r="J457">
        <v>2.4</v>
      </c>
      <c r="K457" t="str" cm="1">
        <f t="array" ref="K45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458" spans="1:11" x14ac:dyDescent="0.35">
      <c r="A458" s="16" t="s">
        <v>50</v>
      </c>
      <c r="B458" t="s">
        <v>34</v>
      </c>
      <c r="C458" t="s">
        <v>35</v>
      </c>
      <c r="D458" t="s">
        <v>13</v>
      </c>
      <c r="E458" t="s">
        <v>14</v>
      </c>
      <c r="F458" t="s">
        <v>15</v>
      </c>
      <c r="G458">
        <v>7</v>
      </c>
      <c r="H458">
        <v>7</v>
      </c>
      <c r="I458">
        <v>0</v>
      </c>
      <c r="J458">
        <v>3.2</v>
      </c>
      <c r="K458" t="str" cm="1">
        <f t="array" ref="K45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459" spans="1:11" x14ac:dyDescent="0.35">
      <c r="A459" s="16" t="s">
        <v>59</v>
      </c>
      <c r="B459" t="s">
        <v>11</v>
      </c>
      <c r="C459" t="s">
        <v>52</v>
      </c>
      <c r="D459" t="s">
        <v>13</v>
      </c>
      <c r="E459" t="s">
        <v>22</v>
      </c>
      <c r="F459" t="s">
        <v>15</v>
      </c>
      <c r="G459">
        <v>8</v>
      </c>
      <c r="H459">
        <v>8</v>
      </c>
      <c r="I459">
        <v>0</v>
      </c>
      <c r="J459">
        <v>2</v>
      </c>
      <c r="K459" t="str" cm="1">
        <f t="array" ref="K45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460" spans="1:11" x14ac:dyDescent="0.35">
      <c r="A460" s="16" t="s">
        <v>31</v>
      </c>
      <c r="B460" t="s">
        <v>34</v>
      </c>
      <c r="C460" t="s">
        <v>51</v>
      </c>
      <c r="D460" t="s">
        <v>26</v>
      </c>
      <c r="E460" t="s">
        <v>27</v>
      </c>
      <c r="F460" t="s">
        <v>19</v>
      </c>
      <c r="G460">
        <v>5</v>
      </c>
      <c r="H460">
        <v>5</v>
      </c>
      <c r="I460">
        <v>0</v>
      </c>
      <c r="J460">
        <v>2.1</v>
      </c>
      <c r="K460" t="str" cm="1">
        <f t="array" ref="K46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461" spans="1:11" x14ac:dyDescent="0.35">
      <c r="A461" s="16" t="s">
        <v>33</v>
      </c>
      <c r="B461" t="s">
        <v>37</v>
      </c>
      <c r="C461" t="s">
        <v>38</v>
      </c>
      <c r="D461" t="s">
        <v>21</v>
      </c>
      <c r="E461" t="s">
        <v>18</v>
      </c>
      <c r="F461" t="s">
        <v>19</v>
      </c>
      <c r="G461">
        <v>1</v>
      </c>
      <c r="H461">
        <v>1</v>
      </c>
      <c r="I461">
        <v>0</v>
      </c>
      <c r="J461">
        <v>3.1</v>
      </c>
      <c r="K461" t="str" cm="1">
        <f t="array" ref="K46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462" spans="1:11" x14ac:dyDescent="0.35">
      <c r="A462" s="16" t="s">
        <v>50</v>
      </c>
      <c r="B462" t="s">
        <v>11</v>
      </c>
      <c r="C462" t="s">
        <v>12</v>
      </c>
      <c r="D462" t="s">
        <v>21</v>
      </c>
      <c r="E462" t="s">
        <v>18</v>
      </c>
      <c r="F462" t="s">
        <v>19</v>
      </c>
      <c r="G462">
        <v>3</v>
      </c>
      <c r="H462">
        <v>3</v>
      </c>
      <c r="I462">
        <v>0</v>
      </c>
      <c r="J462">
        <v>2.2000000000000002</v>
      </c>
      <c r="K462" t="str" cm="1">
        <f t="array" ref="K46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463" spans="1:11" x14ac:dyDescent="0.35">
      <c r="A463" s="16" t="s">
        <v>10</v>
      </c>
      <c r="B463" t="s">
        <v>34</v>
      </c>
      <c r="C463" t="s">
        <v>35</v>
      </c>
      <c r="D463" t="s">
        <v>26</v>
      </c>
      <c r="E463" t="s">
        <v>18</v>
      </c>
      <c r="F463" t="s">
        <v>19</v>
      </c>
      <c r="G463">
        <v>8</v>
      </c>
      <c r="H463">
        <v>7</v>
      </c>
      <c r="I463">
        <v>0</v>
      </c>
      <c r="J463">
        <v>1.9</v>
      </c>
      <c r="K463" t="str" cm="1">
        <f t="array" ref="K46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464" spans="1:11" x14ac:dyDescent="0.35">
      <c r="A464" s="16" t="s">
        <v>33</v>
      </c>
      <c r="B464" t="s">
        <v>46</v>
      </c>
      <c r="C464" t="s">
        <v>47</v>
      </c>
      <c r="D464" t="s">
        <v>40</v>
      </c>
      <c r="E464" t="s">
        <v>22</v>
      </c>
      <c r="F464" t="s">
        <v>15</v>
      </c>
      <c r="G464">
        <v>3</v>
      </c>
      <c r="H464">
        <v>3</v>
      </c>
      <c r="I464">
        <v>0</v>
      </c>
      <c r="J464">
        <v>2</v>
      </c>
      <c r="K464" t="str" cm="1">
        <f t="array" ref="K46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465" spans="1:11" x14ac:dyDescent="0.35">
      <c r="A465" s="16" t="s">
        <v>50</v>
      </c>
      <c r="B465" t="s">
        <v>56</v>
      </c>
      <c r="C465" t="s">
        <v>62</v>
      </c>
      <c r="D465" t="s">
        <v>40</v>
      </c>
      <c r="E465" t="s">
        <v>27</v>
      </c>
      <c r="F465" t="s">
        <v>19</v>
      </c>
      <c r="G465">
        <v>7</v>
      </c>
      <c r="H465">
        <v>6</v>
      </c>
      <c r="I465">
        <v>2</v>
      </c>
      <c r="J465">
        <v>4.2</v>
      </c>
      <c r="K465" t="str" cm="1">
        <f t="array" ref="K46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466" spans="1:11" x14ac:dyDescent="0.35">
      <c r="A466" s="16" t="s">
        <v>43</v>
      </c>
      <c r="B466" t="s">
        <v>41</v>
      </c>
      <c r="C466" t="s">
        <v>44</v>
      </c>
      <c r="D466" t="s">
        <v>32</v>
      </c>
      <c r="E466" t="s">
        <v>30</v>
      </c>
      <c r="F466" t="s">
        <v>15</v>
      </c>
      <c r="G466">
        <v>3</v>
      </c>
      <c r="H466">
        <v>3</v>
      </c>
      <c r="I466">
        <v>0</v>
      </c>
      <c r="J466">
        <v>1.8</v>
      </c>
      <c r="K466" t="str" cm="1">
        <f t="array" ref="K46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67" spans="1:11" x14ac:dyDescent="0.35">
      <c r="A467" s="16" t="s">
        <v>50</v>
      </c>
      <c r="B467" t="s">
        <v>46</v>
      </c>
      <c r="C467" t="s">
        <v>54</v>
      </c>
      <c r="D467" t="s">
        <v>40</v>
      </c>
      <c r="E467" t="s">
        <v>53</v>
      </c>
      <c r="F467" t="s">
        <v>19</v>
      </c>
      <c r="G467">
        <v>5</v>
      </c>
      <c r="H467">
        <v>4</v>
      </c>
      <c r="I467">
        <v>0</v>
      </c>
      <c r="J467">
        <v>1.3</v>
      </c>
      <c r="K467" t="str" cm="1">
        <f t="array" ref="K46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468" spans="1:11" x14ac:dyDescent="0.35">
      <c r="A468" s="16" t="s">
        <v>31</v>
      </c>
      <c r="B468" t="s">
        <v>34</v>
      </c>
      <c r="C468" t="s">
        <v>51</v>
      </c>
      <c r="D468" t="s">
        <v>40</v>
      </c>
      <c r="E468" t="s">
        <v>18</v>
      </c>
      <c r="F468" t="s">
        <v>15</v>
      </c>
      <c r="G468">
        <v>8</v>
      </c>
      <c r="H468">
        <v>8</v>
      </c>
      <c r="I468">
        <v>0</v>
      </c>
      <c r="J468">
        <v>1.9</v>
      </c>
      <c r="K468" t="str" cm="1">
        <f t="array" ref="K46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469" spans="1:11" x14ac:dyDescent="0.35">
      <c r="A469" s="16" t="s">
        <v>61</v>
      </c>
      <c r="B469" t="s">
        <v>48</v>
      </c>
      <c r="C469" t="s">
        <v>49</v>
      </c>
      <c r="D469" t="s">
        <v>21</v>
      </c>
      <c r="E469" t="s">
        <v>53</v>
      </c>
      <c r="F469" t="s">
        <v>15</v>
      </c>
      <c r="G469">
        <v>3</v>
      </c>
      <c r="H469">
        <v>3</v>
      </c>
      <c r="I469">
        <v>1</v>
      </c>
      <c r="J469">
        <v>2.6</v>
      </c>
      <c r="K469" t="str" cm="1">
        <f t="array" ref="K46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470" spans="1:11" x14ac:dyDescent="0.35">
      <c r="A470" s="16" t="s">
        <v>20</v>
      </c>
      <c r="B470" t="s">
        <v>48</v>
      </c>
      <c r="C470" t="s">
        <v>49</v>
      </c>
      <c r="D470" t="s">
        <v>40</v>
      </c>
      <c r="E470" t="s">
        <v>53</v>
      </c>
      <c r="F470" t="s">
        <v>19</v>
      </c>
      <c r="G470">
        <v>5</v>
      </c>
      <c r="H470">
        <v>4</v>
      </c>
      <c r="I470">
        <v>0</v>
      </c>
      <c r="J470">
        <v>2.2000000000000002</v>
      </c>
      <c r="K470" t="str" cm="1">
        <f t="array" ref="K47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471" spans="1:11" x14ac:dyDescent="0.35">
      <c r="A471" s="16" t="s">
        <v>59</v>
      </c>
      <c r="B471" t="s">
        <v>48</v>
      </c>
      <c r="C471" t="s">
        <v>63</v>
      </c>
      <c r="D471" t="s">
        <v>21</v>
      </c>
      <c r="E471" t="s">
        <v>53</v>
      </c>
      <c r="F471" t="s">
        <v>15</v>
      </c>
      <c r="G471">
        <v>3</v>
      </c>
      <c r="H471">
        <v>2</v>
      </c>
      <c r="I471">
        <v>0</v>
      </c>
      <c r="J471">
        <v>2.6</v>
      </c>
      <c r="K471" t="str" cm="1">
        <f t="array" ref="K47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472" spans="1:11" x14ac:dyDescent="0.35">
      <c r="A472" s="16" t="s">
        <v>23</v>
      </c>
      <c r="B472" t="s">
        <v>34</v>
      </c>
      <c r="C472" t="s">
        <v>35</v>
      </c>
      <c r="D472" t="s">
        <v>40</v>
      </c>
      <c r="E472" t="s">
        <v>18</v>
      </c>
      <c r="F472" t="s">
        <v>15</v>
      </c>
      <c r="G472">
        <v>7</v>
      </c>
      <c r="H472">
        <v>5</v>
      </c>
      <c r="I472">
        <v>0</v>
      </c>
      <c r="J472">
        <v>3.6</v>
      </c>
      <c r="K472" t="str" cm="1">
        <f t="array" ref="K47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473" spans="1:11" x14ac:dyDescent="0.35">
      <c r="A473" s="16" t="s">
        <v>33</v>
      </c>
      <c r="B473" t="s">
        <v>56</v>
      </c>
      <c r="C473" t="s">
        <v>57</v>
      </c>
      <c r="D473" t="s">
        <v>13</v>
      </c>
      <c r="E473" t="s">
        <v>27</v>
      </c>
      <c r="F473" t="s">
        <v>19</v>
      </c>
      <c r="G473">
        <v>3</v>
      </c>
      <c r="H473">
        <v>2</v>
      </c>
      <c r="I473">
        <v>0</v>
      </c>
      <c r="J473">
        <v>2.2000000000000002</v>
      </c>
      <c r="K473" t="str" cm="1">
        <f t="array" ref="K47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474" spans="1:11" x14ac:dyDescent="0.35">
      <c r="A474" s="16" t="s">
        <v>23</v>
      </c>
      <c r="B474" t="s">
        <v>46</v>
      </c>
      <c r="C474" t="s">
        <v>47</v>
      </c>
      <c r="D474" t="s">
        <v>26</v>
      </c>
      <c r="E474" t="s">
        <v>22</v>
      </c>
      <c r="F474" t="s">
        <v>19</v>
      </c>
      <c r="G474">
        <v>5</v>
      </c>
      <c r="H474">
        <v>4</v>
      </c>
      <c r="I474">
        <v>0</v>
      </c>
      <c r="J474">
        <v>2.8</v>
      </c>
      <c r="K474" t="str" cm="1">
        <f t="array" ref="K47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475" spans="1:11" x14ac:dyDescent="0.35">
      <c r="A475" s="16" t="s">
        <v>43</v>
      </c>
      <c r="B475" t="s">
        <v>37</v>
      </c>
      <c r="C475" t="s">
        <v>38</v>
      </c>
      <c r="D475" t="s">
        <v>26</v>
      </c>
      <c r="E475" t="s">
        <v>22</v>
      </c>
      <c r="F475" t="s">
        <v>19</v>
      </c>
      <c r="G475">
        <v>5</v>
      </c>
      <c r="H475">
        <v>5</v>
      </c>
      <c r="I475">
        <v>0</v>
      </c>
      <c r="J475">
        <v>1.9</v>
      </c>
      <c r="K475" t="str" cm="1">
        <f t="array" ref="K47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76" spans="1:11" x14ac:dyDescent="0.35">
      <c r="A476" s="16" t="s">
        <v>45</v>
      </c>
      <c r="B476" t="s">
        <v>37</v>
      </c>
      <c r="C476" t="s">
        <v>39</v>
      </c>
      <c r="D476" t="s">
        <v>21</v>
      </c>
      <c r="E476" t="s">
        <v>30</v>
      </c>
      <c r="F476" t="s">
        <v>15</v>
      </c>
      <c r="G476">
        <v>5</v>
      </c>
      <c r="H476">
        <v>5</v>
      </c>
      <c r="I476">
        <v>1</v>
      </c>
      <c r="J476">
        <v>4.2</v>
      </c>
      <c r="K476" t="str" cm="1">
        <f t="array" ref="K47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477" spans="1:11" x14ac:dyDescent="0.35">
      <c r="A477" s="16" t="s">
        <v>36</v>
      </c>
      <c r="B477" t="s">
        <v>56</v>
      </c>
      <c r="C477" t="s">
        <v>57</v>
      </c>
      <c r="D477" t="s">
        <v>13</v>
      </c>
      <c r="E477" t="s">
        <v>27</v>
      </c>
      <c r="F477" t="s">
        <v>15</v>
      </c>
      <c r="G477">
        <v>7</v>
      </c>
      <c r="H477">
        <v>7</v>
      </c>
      <c r="I477">
        <v>0</v>
      </c>
      <c r="J477">
        <v>3.6</v>
      </c>
      <c r="K477" t="str" cm="1">
        <f t="array" ref="K47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478" spans="1:11" x14ac:dyDescent="0.35">
      <c r="A478" s="16" t="s">
        <v>55</v>
      </c>
      <c r="B478" t="s">
        <v>11</v>
      </c>
      <c r="C478" t="s">
        <v>52</v>
      </c>
      <c r="D478" t="s">
        <v>21</v>
      </c>
      <c r="E478" t="s">
        <v>18</v>
      </c>
      <c r="F478" t="s">
        <v>15</v>
      </c>
      <c r="G478">
        <v>5</v>
      </c>
      <c r="H478">
        <v>5</v>
      </c>
      <c r="I478">
        <v>0</v>
      </c>
      <c r="J478">
        <v>2.5</v>
      </c>
      <c r="K478" t="str" cm="1">
        <f t="array" ref="K47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479" spans="1:11" x14ac:dyDescent="0.35">
      <c r="A479" s="16" t="s">
        <v>45</v>
      </c>
      <c r="B479" t="s">
        <v>37</v>
      </c>
      <c r="C479" t="s">
        <v>38</v>
      </c>
      <c r="D479" t="s">
        <v>40</v>
      </c>
      <c r="E479" t="s">
        <v>27</v>
      </c>
      <c r="F479" t="s">
        <v>19</v>
      </c>
      <c r="G479">
        <v>3</v>
      </c>
      <c r="H479">
        <v>3</v>
      </c>
      <c r="I479">
        <v>0</v>
      </c>
      <c r="J479">
        <v>2.5</v>
      </c>
      <c r="K479" t="str" cm="1">
        <f t="array" ref="K47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480" spans="1:11" x14ac:dyDescent="0.35">
      <c r="A480" s="16" t="s">
        <v>43</v>
      </c>
      <c r="B480" t="s">
        <v>37</v>
      </c>
      <c r="C480" t="s">
        <v>38</v>
      </c>
      <c r="D480" t="s">
        <v>13</v>
      </c>
      <c r="E480" t="s">
        <v>22</v>
      </c>
      <c r="F480" t="s">
        <v>15</v>
      </c>
      <c r="G480">
        <v>3</v>
      </c>
      <c r="H480">
        <v>3</v>
      </c>
      <c r="I480">
        <v>0</v>
      </c>
      <c r="J480">
        <v>4</v>
      </c>
      <c r="K480" t="str" cm="1">
        <f t="array" ref="K48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81" spans="1:11" x14ac:dyDescent="0.35">
      <c r="A481" s="16" t="s">
        <v>43</v>
      </c>
      <c r="B481" t="s">
        <v>56</v>
      </c>
      <c r="C481" t="s">
        <v>57</v>
      </c>
      <c r="D481" t="s">
        <v>32</v>
      </c>
      <c r="E481" t="s">
        <v>53</v>
      </c>
      <c r="F481" t="s">
        <v>15</v>
      </c>
      <c r="G481">
        <v>3</v>
      </c>
      <c r="H481">
        <v>3</v>
      </c>
      <c r="I481">
        <v>0</v>
      </c>
      <c r="J481">
        <v>3.2</v>
      </c>
      <c r="K481" t="str" cm="1">
        <f t="array" ref="K48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82" spans="1:11" x14ac:dyDescent="0.35">
      <c r="A482" s="16" t="s">
        <v>45</v>
      </c>
      <c r="B482" t="s">
        <v>16</v>
      </c>
      <c r="C482" t="s">
        <v>17</v>
      </c>
      <c r="D482" t="s">
        <v>32</v>
      </c>
      <c r="E482" t="s">
        <v>53</v>
      </c>
      <c r="F482" t="s">
        <v>15</v>
      </c>
      <c r="G482">
        <v>5</v>
      </c>
      <c r="H482">
        <v>5</v>
      </c>
      <c r="I482">
        <v>0</v>
      </c>
      <c r="J482">
        <v>1.4</v>
      </c>
      <c r="K482" t="str" cm="1">
        <f t="array" ref="K48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483" spans="1:11" x14ac:dyDescent="0.35">
      <c r="A483" s="16" t="s">
        <v>31</v>
      </c>
      <c r="B483" t="s">
        <v>48</v>
      </c>
      <c r="C483" t="s">
        <v>49</v>
      </c>
      <c r="D483" t="s">
        <v>13</v>
      </c>
      <c r="E483" t="s">
        <v>22</v>
      </c>
      <c r="F483" t="s">
        <v>19</v>
      </c>
      <c r="G483">
        <v>7</v>
      </c>
      <c r="H483">
        <v>7</v>
      </c>
      <c r="I483">
        <v>0</v>
      </c>
      <c r="J483">
        <v>3.1</v>
      </c>
      <c r="K483" t="str" cm="1">
        <f t="array" ref="K48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484" spans="1:11" x14ac:dyDescent="0.35">
      <c r="A484" s="16" t="s">
        <v>31</v>
      </c>
      <c r="B484" t="s">
        <v>48</v>
      </c>
      <c r="C484" t="s">
        <v>49</v>
      </c>
      <c r="D484" t="s">
        <v>21</v>
      </c>
      <c r="E484" t="s">
        <v>30</v>
      </c>
      <c r="F484" t="s">
        <v>15</v>
      </c>
      <c r="G484">
        <v>4</v>
      </c>
      <c r="H484">
        <v>4</v>
      </c>
      <c r="I484">
        <v>0</v>
      </c>
      <c r="J484">
        <v>4.5</v>
      </c>
      <c r="K484" t="str" cm="1">
        <f t="array" ref="K48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485" spans="1:11" x14ac:dyDescent="0.35">
      <c r="A485" s="16" t="s">
        <v>61</v>
      </c>
      <c r="B485" t="s">
        <v>37</v>
      </c>
      <c r="C485" t="s">
        <v>38</v>
      </c>
      <c r="D485" t="s">
        <v>21</v>
      </c>
      <c r="E485" t="s">
        <v>53</v>
      </c>
      <c r="F485" t="s">
        <v>15</v>
      </c>
      <c r="G485">
        <v>3</v>
      </c>
      <c r="H485">
        <v>3</v>
      </c>
      <c r="I485">
        <v>0</v>
      </c>
      <c r="J485">
        <v>3.7</v>
      </c>
      <c r="K485" t="str" cm="1">
        <f t="array" ref="K48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486" spans="1:11" x14ac:dyDescent="0.35">
      <c r="A486" s="16" t="s">
        <v>20</v>
      </c>
      <c r="B486" t="s">
        <v>48</v>
      </c>
      <c r="C486" t="s">
        <v>63</v>
      </c>
      <c r="D486" t="s">
        <v>32</v>
      </c>
      <c r="E486" t="s">
        <v>30</v>
      </c>
      <c r="F486" t="s">
        <v>15</v>
      </c>
      <c r="G486">
        <v>5</v>
      </c>
      <c r="H486">
        <v>5</v>
      </c>
      <c r="I486">
        <v>1</v>
      </c>
      <c r="J486">
        <v>3</v>
      </c>
      <c r="K486" t="str" cm="1">
        <f t="array" ref="K48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487" spans="1:11" x14ac:dyDescent="0.35">
      <c r="A487" s="16" t="s">
        <v>45</v>
      </c>
      <c r="B487" t="s">
        <v>46</v>
      </c>
      <c r="C487" t="s">
        <v>47</v>
      </c>
      <c r="D487" t="s">
        <v>32</v>
      </c>
      <c r="E487" t="s">
        <v>14</v>
      </c>
      <c r="F487" t="s">
        <v>19</v>
      </c>
      <c r="G487">
        <v>4</v>
      </c>
      <c r="H487">
        <v>3</v>
      </c>
      <c r="I487">
        <v>0</v>
      </c>
      <c r="J487">
        <v>3.1</v>
      </c>
      <c r="K487" t="str" cm="1">
        <f t="array" ref="K48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488" spans="1:11" x14ac:dyDescent="0.35">
      <c r="A488" s="16" t="s">
        <v>59</v>
      </c>
      <c r="B488" t="s">
        <v>24</v>
      </c>
      <c r="C488" t="s">
        <v>64</v>
      </c>
      <c r="D488" t="s">
        <v>13</v>
      </c>
      <c r="E488" t="s">
        <v>18</v>
      </c>
      <c r="F488" t="s">
        <v>15</v>
      </c>
      <c r="G488">
        <v>6</v>
      </c>
      <c r="H488">
        <v>5</v>
      </c>
      <c r="I488">
        <v>0</v>
      </c>
      <c r="J488">
        <v>4.3</v>
      </c>
      <c r="K488" t="str" cm="1">
        <f t="array" ref="K48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489" spans="1:11" x14ac:dyDescent="0.35">
      <c r="A489" s="16" t="s">
        <v>61</v>
      </c>
      <c r="B489" t="s">
        <v>11</v>
      </c>
      <c r="C489" t="s">
        <v>52</v>
      </c>
      <c r="D489" t="s">
        <v>22</v>
      </c>
      <c r="E489" t="s">
        <v>14</v>
      </c>
      <c r="F489" t="s">
        <v>15</v>
      </c>
      <c r="G489">
        <v>6</v>
      </c>
      <c r="H489">
        <v>6</v>
      </c>
      <c r="I489">
        <v>1</v>
      </c>
      <c r="J489">
        <v>0.8</v>
      </c>
      <c r="K489" t="str" cm="1">
        <f t="array" ref="K48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490" spans="1:11" x14ac:dyDescent="0.35">
      <c r="A490" s="16" t="s">
        <v>36</v>
      </c>
      <c r="B490" t="s">
        <v>48</v>
      </c>
      <c r="C490" t="s">
        <v>49</v>
      </c>
      <c r="D490" t="s">
        <v>13</v>
      </c>
      <c r="E490" t="s">
        <v>53</v>
      </c>
      <c r="F490" t="s">
        <v>15</v>
      </c>
      <c r="G490">
        <v>8</v>
      </c>
      <c r="H490">
        <v>7</v>
      </c>
      <c r="I490">
        <v>0</v>
      </c>
      <c r="J490">
        <v>2.9</v>
      </c>
      <c r="K490" t="str" cm="1">
        <f t="array" ref="K49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491" spans="1:11" x14ac:dyDescent="0.35">
      <c r="A491" s="16" t="s">
        <v>55</v>
      </c>
      <c r="B491" t="s">
        <v>46</v>
      </c>
      <c r="C491" t="s">
        <v>47</v>
      </c>
      <c r="D491" t="s">
        <v>40</v>
      </c>
      <c r="E491" t="s">
        <v>22</v>
      </c>
      <c r="F491" t="s">
        <v>19</v>
      </c>
      <c r="G491">
        <v>4</v>
      </c>
      <c r="H491">
        <v>4</v>
      </c>
      <c r="I491">
        <v>0</v>
      </c>
      <c r="J491">
        <v>1.8</v>
      </c>
      <c r="K491" t="str" cm="1">
        <f t="array" ref="K49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492" spans="1:11" x14ac:dyDescent="0.35">
      <c r="A492" s="16" t="s">
        <v>36</v>
      </c>
      <c r="B492" t="s">
        <v>24</v>
      </c>
      <c r="C492" t="s">
        <v>64</v>
      </c>
      <c r="D492" t="s">
        <v>22</v>
      </c>
      <c r="E492" t="s">
        <v>30</v>
      </c>
      <c r="F492" t="s">
        <v>15</v>
      </c>
      <c r="G492">
        <v>8</v>
      </c>
      <c r="H492">
        <v>8</v>
      </c>
      <c r="I492">
        <v>0</v>
      </c>
      <c r="J492">
        <v>3.3</v>
      </c>
      <c r="K492" t="str" cm="1">
        <f t="array" ref="K49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493" spans="1:11" x14ac:dyDescent="0.35">
      <c r="A493" s="16" t="s">
        <v>61</v>
      </c>
      <c r="B493" t="s">
        <v>16</v>
      </c>
      <c r="C493" t="s">
        <v>17</v>
      </c>
      <c r="D493" t="s">
        <v>26</v>
      </c>
      <c r="E493" t="s">
        <v>18</v>
      </c>
      <c r="F493" t="s">
        <v>19</v>
      </c>
      <c r="G493">
        <v>1</v>
      </c>
      <c r="H493">
        <v>1</v>
      </c>
      <c r="I493">
        <v>0</v>
      </c>
      <c r="J493">
        <v>5.5</v>
      </c>
      <c r="K493" t="str" cm="1">
        <f t="array" ref="K49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494" spans="1:11" x14ac:dyDescent="0.35">
      <c r="A494" s="16" t="s">
        <v>31</v>
      </c>
      <c r="B494" t="s">
        <v>16</v>
      </c>
      <c r="C494" t="s">
        <v>17</v>
      </c>
      <c r="D494" t="s">
        <v>40</v>
      </c>
      <c r="E494" t="s">
        <v>14</v>
      </c>
      <c r="F494" t="s">
        <v>15</v>
      </c>
      <c r="G494">
        <v>4</v>
      </c>
      <c r="H494">
        <v>4</v>
      </c>
      <c r="I494">
        <v>0</v>
      </c>
      <c r="J494">
        <v>3.9</v>
      </c>
      <c r="K494" t="str" cm="1">
        <f t="array" ref="K49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495" spans="1:11" x14ac:dyDescent="0.35">
      <c r="A495" s="16" t="s">
        <v>23</v>
      </c>
      <c r="B495" t="s">
        <v>34</v>
      </c>
      <c r="C495" t="s">
        <v>51</v>
      </c>
      <c r="D495" t="s">
        <v>22</v>
      </c>
      <c r="E495" t="s">
        <v>22</v>
      </c>
      <c r="F495" t="s">
        <v>19</v>
      </c>
      <c r="G495">
        <v>4</v>
      </c>
      <c r="H495">
        <v>3</v>
      </c>
      <c r="I495">
        <v>0</v>
      </c>
      <c r="J495">
        <v>5.0999999999999996</v>
      </c>
      <c r="K495" t="str" cm="1">
        <f t="array" ref="K49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496" spans="1:11" x14ac:dyDescent="0.35">
      <c r="A496" s="16" t="s">
        <v>50</v>
      </c>
      <c r="B496" t="s">
        <v>56</v>
      </c>
      <c r="C496" t="s">
        <v>57</v>
      </c>
      <c r="D496" t="s">
        <v>13</v>
      </c>
      <c r="E496" t="s">
        <v>22</v>
      </c>
      <c r="F496" t="s">
        <v>15</v>
      </c>
      <c r="G496">
        <v>8</v>
      </c>
      <c r="H496">
        <v>8</v>
      </c>
      <c r="I496">
        <v>0</v>
      </c>
      <c r="J496">
        <v>3.5</v>
      </c>
      <c r="K496" t="str" cm="1">
        <f t="array" ref="K49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497" spans="1:11" x14ac:dyDescent="0.35">
      <c r="A497" s="16" t="s">
        <v>43</v>
      </c>
      <c r="B497" t="s">
        <v>11</v>
      </c>
      <c r="C497" t="s">
        <v>52</v>
      </c>
      <c r="D497" t="s">
        <v>22</v>
      </c>
      <c r="E497" t="s">
        <v>18</v>
      </c>
      <c r="F497" t="s">
        <v>19</v>
      </c>
      <c r="G497">
        <v>4</v>
      </c>
      <c r="H497">
        <v>4</v>
      </c>
      <c r="I497">
        <v>0</v>
      </c>
      <c r="J497">
        <v>1.2</v>
      </c>
      <c r="K497" t="str" cm="1">
        <f t="array" ref="K49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498" spans="1:11" x14ac:dyDescent="0.35">
      <c r="A498" s="16" t="s">
        <v>33</v>
      </c>
      <c r="B498" t="s">
        <v>37</v>
      </c>
      <c r="C498" t="s">
        <v>38</v>
      </c>
      <c r="D498" t="s">
        <v>40</v>
      </c>
      <c r="E498" t="s">
        <v>18</v>
      </c>
      <c r="F498" t="s">
        <v>15</v>
      </c>
      <c r="G498">
        <v>4</v>
      </c>
      <c r="H498">
        <v>4</v>
      </c>
      <c r="I498">
        <v>0</v>
      </c>
      <c r="J498">
        <v>2.9</v>
      </c>
      <c r="K498" t="str" cm="1">
        <f t="array" ref="K49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499" spans="1:11" x14ac:dyDescent="0.35">
      <c r="A499" s="16" t="s">
        <v>61</v>
      </c>
      <c r="B499" t="s">
        <v>28</v>
      </c>
      <c r="C499" t="s">
        <v>58</v>
      </c>
      <c r="D499" t="s">
        <v>32</v>
      </c>
      <c r="E499" t="s">
        <v>18</v>
      </c>
      <c r="F499" t="s">
        <v>19</v>
      </c>
      <c r="G499">
        <v>8</v>
      </c>
      <c r="H499">
        <v>8</v>
      </c>
      <c r="I499">
        <v>1</v>
      </c>
      <c r="J499">
        <v>4</v>
      </c>
      <c r="K499" t="str" cm="1">
        <f t="array" ref="K49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500" spans="1:11" x14ac:dyDescent="0.35">
      <c r="A500" s="16" t="s">
        <v>45</v>
      </c>
      <c r="B500" t="s">
        <v>28</v>
      </c>
      <c r="C500" t="s">
        <v>29</v>
      </c>
      <c r="D500" t="s">
        <v>21</v>
      </c>
      <c r="E500" t="s">
        <v>22</v>
      </c>
      <c r="F500" t="s">
        <v>19</v>
      </c>
      <c r="G500">
        <v>3</v>
      </c>
      <c r="H500">
        <v>3</v>
      </c>
      <c r="I500">
        <v>0</v>
      </c>
      <c r="J500">
        <v>3.8</v>
      </c>
      <c r="K500" t="str" cm="1">
        <f t="array" ref="K50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501" spans="1:11" x14ac:dyDescent="0.35">
      <c r="A501" s="16" t="s">
        <v>10</v>
      </c>
      <c r="B501" t="s">
        <v>34</v>
      </c>
      <c r="C501" t="s">
        <v>51</v>
      </c>
      <c r="D501" t="s">
        <v>13</v>
      </c>
      <c r="E501" t="s">
        <v>14</v>
      </c>
      <c r="F501" t="s">
        <v>19</v>
      </c>
      <c r="G501">
        <v>7</v>
      </c>
      <c r="H501">
        <v>6</v>
      </c>
      <c r="I501">
        <v>1</v>
      </c>
      <c r="J501">
        <v>2.2000000000000002</v>
      </c>
      <c r="K501" t="str" cm="1">
        <f t="array" ref="K50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502" spans="1:11" x14ac:dyDescent="0.35">
      <c r="A502" s="16" t="s">
        <v>10</v>
      </c>
      <c r="B502" t="s">
        <v>48</v>
      </c>
      <c r="C502" t="s">
        <v>63</v>
      </c>
      <c r="D502" t="s">
        <v>22</v>
      </c>
      <c r="E502" t="s">
        <v>14</v>
      </c>
      <c r="F502" t="s">
        <v>19</v>
      </c>
      <c r="G502">
        <v>7</v>
      </c>
      <c r="H502">
        <v>6</v>
      </c>
      <c r="I502">
        <v>0</v>
      </c>
      <c r="J502">
        <v>4.9000000000000004</v>
      </c>
      <c r="K502" t="str" cm="1">
        <f t="array" ref="K50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503" spans="1:11" x14ac:dyDescent="0.35">
      <c r="A503" s="16" t="s">
        <v>61</v>
      </c>
      <c r="B503" t="s">
        <v>16</v>
      </c>
      <c r="C503" t="s">
        <v>60</v>
      </c>
      <c r="D503" t="s">
        <v>26</v>
      </c>
      <c r="E503" t="s">
        <v>30</v>
      </c>
      <c r="F503" t="s">
        <v>19</v>
      </c>
      <c r="G503">
        <v>4</v>
      </c>
      <c r="H503">
        <v>3</v>
      </c>
      <c r="I503">
        <v>1</v>
      </c>
      <c r="J503">
        <v>2.1</v>
      </c>
      <c r="K503" t="str" cm="1">
        <f t="array" ref="K50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504" spans="1:11" x14ac:dyDescent="0.35">
      <c r="A504" s="16" t="s">
        <v>55</v>
      </c>
      <c r="B504" t="s">
        <v>56</v>
      </c>
      <c r="C504" t="s">
        <v>62</v>
      </c>
      <c r="D504" t="s">
        <v>40</v>
      </c>
      <c r="E504" t="s">
        <v>53</v>
      </c>
      <c r="F504" t="s">
        <v>15</v>
      </c>
      <c r="G504">
        <v>7</v>
      </c>
      <c r="H504">
        <v>7</v>
      </c>
      <c r="I504">
        <v>0</v>
      </c>
      <c r="J504">
        <v>2.7</v>
      </c>
      <c r="K504" t="str" cm="1">
        <f t="array" ref="K50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505" spans="1:11" x14ac:dyDescent="0.35">
      <c r="A505" s="16" t="s">
        <v>10</v>
      </c>
      <c r="B505" t="s">
        <v>41</v>
      </c>
      <c r="C505" t="s">
        <v>42</v>
      </c>
      <c r="D505" t="s">
        <v>40</v>
      </c>
      <c r="E505" t="s">
        <v>18</v>
      </c>
      <c r="F505" t="s">
        <v>19</v>
      </c>
      <c r="G505">
        <v>7</v>
      </c>
      <c r="H505">
        <v>6</v>
      </c>
      <c r="I505">
        <v>1</v>
      </c>
      <c r="J505">
        <v>2.5</v>
      </c>
      <c r="K505" t="str" cm="1">
        <f t="array" ref="K50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506" spans="1:11" x14ac:dyDescent="0.35">
      <c r="A506" s="16" t="s">
        <v>43</v>
      </c>
      <c r="B506" t="s">
        <v>34</v>
      </c>
      <c r="C506" t="s">
        <v>51</v>
      </c>
      <c r="D506" t="s">
        <v>21</v>
      </c>
      <c r="E506" t="s">
        <v>14</v>
      </c>
      <c r="F506" t="s">
        <v>19</v>
      </c>
      <c r="G506">
        <v>5</v>
      </c>
      <c r="H506">
        <v>5</v>
      </c>
      <c r="I506">
        <v>1</v>
      </c>
      <c r="J506">
        <v>2.9</v>
      </c>
      <c r="K506" t="str" cm="1">
        <f t="array" ref="K50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507" spans="1:11" x14ac:dyDescent="0.35">
      <c r="A507" s="16" t="s">
        <v>55</v>
      </c>
      <c r="B507" t="s">
        <v>56</v>
      </c>
      <c r="C507" t="s">
        <v>62</v>
      </c>
      <c r="D507" t="s">
        <v>32</v>
      </c>
      <c r="E507" t="s">
        <v>18</v>
      </c>
      <c r="F507" t="s">
        <v>19</v>
      </c>
      <c r="G507">
        <v>9</v>
      </c>
      <c r="H507">
        <v>9</v>
      </c>
      <c r="I507">
        <v>1</v>
      </c>
      <c r="J507">
        <v>3.3</v>
      </c>
      <c r="K507" t="str" cm="1">
        <f t="array" ref="K50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508" spans="1:11" x14ac:dyDescent="0.35">
      <c r="A508" s="16" t="s">
        <v>10</v>
      </c>
      <c r="B508" t="s">
        <v>56</v>
      </c>
      <c r="C508" t="s">
        <v>62</v>
      </c>
      <c r="D508" t="s">
        <v>13</v>
      </c>
      <c r="E508" t="s">
        <v>30</v>
      </c>
      <c r="F508" t="s">
        <v>15</v>
      </c>
      <c r="G508">
        <v>2</v>
      </c>
      <c r="H508">
        <v>2</v>
      </c>
      <c r="I508">
        <v>0</v>
      </c>
      <c r="J508">
        <v>1.9</v>
      </c>
      <c r="K508" t="str" cm="1">
        <f t="array" ref="K50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509" spans="1:11" x14ac:dyDescent="0.35">
      <c r="A509" s="16" t="s">
        <v>33</v>
      </c>
      <c r="B509" t="s">
        <v>48</v>
      </c>
      <c r="C509" t="s">
        <v>63</v>
      </c>
      <c r="D509" t="s">
        <v>32</v>
      </c>
      <c r="E509" t="s">
        <v>22</v>
      </c>
      <c r="F509" t="s">
        <v>15</v>
      </c>
      <c r="G509">
        <v>8</v>
      </c>
      <c r="H509">
        <v>7</v>
      </c>
      <c r="I509">
        <v>0</v>
      </c>
      <c r="J509">
        <v>2.6</v>
      </c>
      <c r="K509" t="str" cm="1">
        <f t="array" ref="K50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510" spans="1:11" x14ac:dyDescent="0.35">
      <c r="A510" s="16" t="s">
        <v>45</v>
      </c>
      <c r="B510" t="s">
        <v>48</v>
      </c>
      <c r="C510" t="s">
        <v>49</v>
      </c>
      <c r="D510" t="s">
        <v>22</v>
      </c>
      <c r="E510" t="s">
        <v>18</v>
      </c>
      <c r="F510" t="s">
        <v>15</v>
      </c>
      <c r="G510">
        <v>7</v>
      </c>
      <c r="H510">
        <v>5</v>
      </c>
      <c r="I510">
        <v>0</v>
      </c>
      <c r="J510">
        <v>3.1</v>
      </c>
      <c r="K510" t="str" cm="1">
        <f t="array" ref="K51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511" spans="1:11" x14ac:dyDescent="0.35">
      <c r="A511" s="16" t="s">
        <v>36</v>
      </c>
      <c r="B511" t="s">
        <v>11</v>
      </c>
      <c r="C511" t="s">
        <v>52</v>
      </c>
      <c r="D511" t="s">
        <v>40</v>
      </c>
      <c r="E511" t="s">
        <v>53</v>
      </c>
      <c r="F511" t="s">
        <v>15</v>
      </c>
      <c r="G511">
        <v>6</v>
      </c>
      <c r="H511">
        <v>6</v>
      </c>
      <c r="I511">
        <v>0</v>
      </c>
      <c r="J511">
        <v>3.2</v>
      </c>
      <c r="K511" t="str" cm="1">
        <f t="array" ref="K51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512" spans="1:11" x14ac:dyDescent="0.35">
      <c r="A512" s="16" t="s">
        <v>59</v>
      </c>
      <c r="B512" t="s">
        <v>28</v>
      </c>
      <c r="C512" t="s">
        <v>29</v>
      </c>
      <c r="D512" t="s">
        <v>32</v>
      </c>
      <c r="E512" t="s">
        <v>22</v>
      </c>
      <c r="F512" t="s">
        <v>19</v>
      </c>
      <c r="G512">
        <v>6</v>
      </c>
      <c r="H512">
        <v>5</v>
      </c>
      <c r="I512">
        <v>0</v>
      </c>
      <c r="J512">
        <v>1.9</v>
      </c>
      <c r="K512" t="str" cm="1">
        <f t="array" ref="K51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513" spans="1:11" x14ac:dyDescent="0.35">
      <c r="A513" s="16" t="s">
        <v>55</v>
      </c>
      <c r="B513" t="s">
        <v>28</v>
      </c>
      <c r="C513" t="s">
        <v>58</v>
      </c>
      <c r="D513" t="s">
        <v>26</v>
      </c>
      <c r="E513" t="s">
        <v>14</v>
      </c>
      <c r="F513" t="s">
        <v>15</v>
      </c>
      <c r="G513">
        <v>5</v>
      </c>
      <c r="H513">
        <v>5</v>
      </c>
      <c r="I513">
        <v>1</v>
      </c>
      <c r="J513">
        <v>3</v>
      </c>
      <c r="K513" t="str" cm="1">
        <f t="array" ref="K51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514" spans="1:11" x14ac:dyDescent="0.35">
      <c r="A514" s="16" t="s">
        <v>36</v>
      </c>
      <c r="B514" t="s">
        <v>34</v>
      </c>
      <c r="C514" t="s">
        <v>35</v>
      </c>
      <c r="D514" t="s">
        <v>40</v>
      </c>
      <c r="E514" t="s">
        <v>14</v>
      </c>
      <c r="F514" t="s">
        <v>15</v>
      </c>
      <c r="G514">
        <v>5</v>
      </c>
      <c r="H514">
        <v>4</v>
      </c>
      <c r="I514">
        <v>0</v>
      </c>
      <c r="J514">
        <v>3.9</v>
      </c>
      <c r="K514" t="str" cm="1">
        <f t="array" ref="K51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515" spans="1:11" x14ac:dyDescent="0.35">
      <c r="A515" s="16" t="s">
        <v>33</v>
      </c>
      <c r="B515" t="s">
        <v>11</v>
      </c>
      <c r="C515" t="s">
        <v>12</v>
      </c>
      <c r="D515" t="s">
        <v>22</v>
      </c>
      <c r="E515" t="s">
        <v>22</v>
      </c>
      <c r="F515" t="s">
        <v>15</v>
      </c>
      <c r="G515">
        <v>5</v>
      </c>
      <c r="H515">
        <v>5</v>
      </c>
      <c r="I515">
        <v>0</v>
      </c>
      <c r="J515">
        <v>1.3</v>
      </c>
      <c r="K515" t="str" cm="1">
        <f t="array" ref="K51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516" spans="1:11" x14ac:dyDescent="0.35">
      <c r="A516" s="16" t="s">
        <v>55</v>
      </c>
      <c r="B516" t="s">
        <v>41</v>
      </c>
      <c r="C516" t="s">
        <v>44</v>
      </c>
      <c r="D516" t="s">
        <v>13</v>
      </c>
      <c r="E516" t="s">
        <v>30</v>
      </c>
      <c r="F516" t="s">
        <v>19</v>
      </c>
      <c r="G516">
        <v>0</v>
      </c>
      <c r="H516">
        <v>0</v>
      </c>
      <c r="I516">
        <v>0</v>
      </c>
      <c r="J516">
        <v>2.2999999999999998</v>
      </c>
      <c r="K516" t="str" cm="1">
        <f t="array" ref="K51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517" spans="1:11" x14ac:dyDescent="0.35">
      <c r="A517" s="16" t="s">
        <v>31</v>
      </c>
      <c r="B517" t="s">
        <v>48</v>
      </c>
      <c r="C517" t="s">
        <v>49</v>
      </c>
      <c r="D517" t="s">
        <v>13</v>
      </c>
      <c r="E517" t="s">
        <v>53</v>
      </c>
      <c r="F517" t="s">
        <v>19</v>
      </c>
      <c r="G517">
        <v>2</v>
      </c>
      <c r="H517">
        <v>1</v>
      </c>
      <c r="I517">
        <v>0</v>
      </c>
      <c r="J517">
        <v>3.5</v>
      </c>
      <c r="K517" t="str" cm="1">
        <f t="array" ref="K51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518" spans="1:11" x14ac:dyDescent="0.35">
      <c r="A518" s="16" t="s">
        <v>20</v>
      </c>
      <c r="B518" t="s">
        <v>28</v>
      </c>
      <c r="C518" t="s">
        <v>29</v>
      </c>
      <c r="D518" t="s">
        <v>22</v>
      </c>
      <c r="E518" t="s">
        <v>22</v>
      </c>
      <c r="F518" t="s">
        <v>15</v>
      </c>
      <c r="G518">
        <v>4</v>
      </c>
      <c r="H518">
        <v>3</v>
      </c>
      <c r="I518">
        <v>0</v>
      </c>
      <c r="J518">
        <v>4.3</v>
      </c>
      <c r="K518" t="str" cm="1">
        <f t="array" ref="K51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519" spans="1:11" x14ac:dyDescent="0.35">
      <c r="A519" s="16" t="s">
        <v>33</v>
      </c>
      <c r="B519" t="s">
        <v>34</v>
      </c>
      <c r="C519" t="s">
        <v>51</v>
      </c>
      <c r="D519" t="s">
        <v>26</v>
      </c>
      <c r="E519" t="s">
        <v>14</v>
      </c>
      <c r="F519" t="s">
        <v>19</v>
      </c>
      <c r="G519">
        <v>6</v>
      </c>
      <c r="H519">
        <v>5</v>
      </c>
      <c r="I519">
        <v>0</v>
      </c>
      <c r="J519">
        <v>2.6</v>
      </c>
      <c r="K519" t="str" cm="1">
        <f t="array" ref="K51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520" spans="1:11" x14ac:dyDescent="0.35">
      <c r="A520" s="16" t="s">
        <v>61</v>
      </c>
      <c r="B520" t="s">
        <v>28</v>
      </c>
      <c r="C520" t="s">
        <v>29</v>
      </c>
      <c r="D520" t="s">
        <v>13</v>
      </c>
      <c r="E520" t="s">
        <v>14</v>
      </c>
      <c r="F520" t="s">
        <v>15</v>
      </c>
      <c r="G520">
        <v>8</v>
      </c>
      <c r="H520">
        <v>7</v>
      </c>
      <c r="I520">
        <v>0</v>
      </c>
      <c r="J520">
        <v>3.7</v>
      </c>
      <c r="K520" t="str" cm="1">
        <f t="array" ref="K52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521" spans="1:11" x14ac:dyDescent="0.35">
      <c r="A521" s="16" t="s">
        <v>43</v>
      </c>
      <c r="B521" t="s">
        <v>16</v>
      </c>
      <c r="C521" t="s">
        <v>17</v>
      </c>
      <c r="D521" t="s">
        <v>40</v>
      </c>
      <c r="E521" t="s">
        <v>53</v>
      </c>
      <c r="F521" t="s">
        <v>19</v>
      </c>
      <c r="G521">
        <v>2</v>
      </c>
      <c r="H521">
        <v>2</v>
      </c>
      <c r="I521">
        <v>0</v>
      </c>
      <c r="J521">
        <v>2.4</v>
      </c>
      <c r="K521" t="str" cm="1">
        <f t="array" ref="K52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522" spans="1:11" x14ac:dyDescent="0.35">
      <c r="A522" s="16" t="s">
        <v>36</v>
      </c>
      <c r="B522" t="s">
        <v>24</v>
      </c>
      <c r="C522" t="s">
        <v>25</v>
      </c>
      <c r="D522" t="s">
        <v>40</v>
      </c>
      <c r="E522" t="s">
        <v>22</v>
      </c>
      <c r="F522" t="s">
        <v>15</v>
      </c>
      <c r="G522">
        <v>2</v>
      </c>
      <c r="H522">
        <v>2</v>
      </c>
      <c r="I522">
        <v>0</v>
      </c>
      <c r="J522">
        <v>1.2</v>
      </c>
      <c r="K522" t="str" cm="1">
        <f t="array" ref="K52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523" spans="1:11" x14ac:dyDescent="0.35">
      <c r="A523" s="16" t="s">
        <v>10</v>
      </c>
      <c r="B523" t="s">
        <v>34</v>
      </c>
      <c r="C523" t="s">
        <v>51</v>
      </c>
      <c r="D523" t="s">
        <v>26</v>
      </c>
      <c r="E523" t="s">
        <v>30</v>
      </c>
      <c r="F523" t="s">
        <v>19</v>
      </c>
      <c r="G523">
        <v>6</v>
      </c>
      <c r="H523">
        <v>6</v>
      </c>
      <c r="I523">
        <v>0</v>
      </c>
      <c r="J523">
        <v>1.8</v>
      </c>
      <c r="K523" t="str" cm="1">
        <f t="array" ref="K52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524" spans="1:11" x14ac:dyDescent="0.35">
      <c r="A524" s="16" t="s">
        <v>61</v>
      </c>
      <c r="B524" t="s">
        <v>11</v>
      </c>
      <c r="C524" t="s">
        <v>52</v>
      </c>
      <c r="D524" t="s">
        <v>26</v>
      </c>
      <c r="E524" t="s">
        <v>14</v>
      </c>
      <c r="F524" t="s">
        <v>19</v>
      </c>
      <c r="G524">
        <v>3</v>
      </c>
      <c r="H524">
        <v>3</v>
      </c>
      <c r="I524">
        <v>0</v>
      </c>
      <c r="J524">
        <v>3.5</v>
      </c>
      <c r="K524" t="str" cm="1">
        <f t="array" ref="K52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525" spans="1:11" x14ac:dyDescent="0.35">
      <c r="A525" s="16" t="s">
        <v>10</v>
      </c>
      <c r="B525" t="s">
        <v>16</v>
      </c>
      <c r="C525" t="s">
        <v>60</v>
      </c>
      <c r="D525" t="s">
        <v>26</v>
      </c>
      <c r="E525" t="s">
        <v>27</v>
      </c>
      <c r="F525" t="s">
        <v>19</v>
      </c>
      <c r="G525">
        <v>5</v>
      </c>
      <c r="H525">
        <v>4</v>
      </c>
      <c r="I525">
        <v>0</v>
      </c>
      <c r="J525">
        <v>2.5</v>
      </c>
      <c r="K525" t="str" cm="1">
        <f t="array" ref="K52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526" spans="1:11" x14ac:dyDescent="0.35">
      <c r="A526" s="16" t="s">
        <v>59</v>
      </c>
      <c r="B526" t="s">
        <v>41</v>
      </c>
      <c r="C526" t="s">
        <v>42</v>
      </c>
      <c r="D526" t="s">
        <v>32</v>
      </c>
      <c r="E526" t="s">
        <v>18</v>
      </c>
      <c r="F526" t="s">
        <v>15</v>
      </c>
      <c r="G526">
        <v>8</v>
      </c>
      <c r="H526">
        <v>8</v>
      </c>
      <c r="I526">
        <v>0</v>
      </c>
      <c r="J526">
        <v>1.8</v>
      </c>
      <c r="K526" t="str" cm="1">
        <f t="array" ref="K52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527" spans="1:11" x14ac:dyDescent="0.35">
      <c r="A527" s="16" t="s">
        <v>45</v>
      </c>
      <c r="B527" t="s">
        <v>24</v>
      </c>
      <c r="C527" t="s">
        <v>25</v>
      </c>
      <c r="D527" t="s">
        <v>26</v>
      </c>
      <c r="E527" t="s">
        <v>14</v>
      </c>
      <c r="F527" t="s">
        <v>15</v>
      </c>
      <c r="G527">
        <v>7</v>
      </c>
      <c r="H527">
        <v>6</v>
      </c>
      <c r="I527">
        <v>0</v>
      </c>
      <c r="J527">
        <v>3.2</v>
      </c>
      <c r="K527" t="str" cm="1">
        <f t="array" ref="K52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528" spans="1:11" x14ac:dyDescent="0.35">
      <c r="A528" s="16" t="s">
        <v>23</v>
      </c>
      <c r="B528" t="s">
        <v>41</v>
      </c>
      <c r="C528" t="s">
        <v>44</v>
      </c>
      <c r="D528" t="s">
        <v>21</v>
      </c>
      <c r="E528" t="s">
        <v>27</v>
      </c>
      <c r="F528" t="s">
        <v>15</v>
      </c>
      <c r="G528">
        <v>2</v>
      </c>
      <c r="H528">
        <v>2</v>
      </c>
      <c r="I528">
        <v>1</v>
      </c>
      <c r="J528">
        <v>2.9</v>
      </c>
      <c r="K528" t="str" cm="1">
        <f t="array" ref="K52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529" spans="1:11" x14ac:dyDescent="0.35">
      <c r="A529" s="16" t="s">
        <v>59</v>
      </c>
      <c r="B529" t="s">
        <v>48</v>
      </c>
      <c r="C529" t="s">
        <v>49</v>
      </c>
      <c r="D529" t="s">
        <v>26</v>
      </c>
      <c r="E529" t="s">
        <v>14</v>
      </c>
      <c r="F529" t="s">
        <v>15</v>
      </c>
      <c r="G529">
        <v>2</v>
      </c>
      <c r="H529">
        <v>1</v>
      </c>
      <c r="I529">
        <v>0</v>
      </c>
      <c r="J529">
        <v>3.4</v>
      </c>
      <c r="K529" t="str" cm="1">
        <f t="array" ref="K52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530" spans="1:11" x14ac:dyDescent="0.35">
      <c r="A530" s="16" t="s">
        <v>55</v>
      </c>
      <c r="B530" t="s">
        <v>16</v>
      </c>
      <c r="C530" t="s">
        <v>17</v>
      </c>
      <c r="D530" t="s">
        <v>26</v>
      </c>
      <c r="E530" t="s">
        <v>14</v>
      </c>
      <c r="F530" t="s">
        <v>15</v>
      </c>
      <c r="G530">
        <v>6</v>
      </c>
      <c r="H530">
        <v>6</v>
      </c>
      <c r="I530">
        <v>0</v>
      </c>
      <c r="J530">
        <v>3.3</v>
      </c>
      <c r="K530" t="str" cm="1">
        <f t="array" ref="K53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531" spans="1:11" x14ac:dyDescent="0.35">
      <c r="A531" s="16" t="s">
        <v>43</v>
      </c>
      <c r="B531" t="s">
        <v>11</v>
      </c>
      <c r="C531" t="s">
        <v>52</v>
      </c>
      <c r="D531" t="s">
        <v>40</v>
      </c>
      <c r="E531" t="s">
        <v>22</v>
      </c>
      <c r="F531" t="s">
        <v>15</v>
      </c>
      <c r="G531">
        <v>3</v>
      </c>
      <c r="H531">
        <v>3</v>
      </c>
      <c r="I531">
        <v>0</v>
      </c>
      <c r="J531">
        <v>3.9</v>
      </c>
      <c r="K531" t="str" cm="1">
        <f t="array" ref="K53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532" spans="1:11" x14ac:dyDescent="0.35">
      <c r="A532" s="16" t="s">
        <v>59</v>
      </c>
      <c r="B532" t="s">
        <v>34</v>
      </c>
      <c r="C532" t="s">
        <v>35</v>
      </c>
      <c r="D532" t="s">
        <v>22</v>
      </c>
      <c r="E532" t="s">
        <v>30</v>
      </c>
      <c r="F532" t="s">
        <v>19</v>
      </c>
      <c r="G532">
        <v>4</v>
      </c>
      <c r="H532">
        <v>4</v>
      </c>
      <c r="I532">
        <v>0</v>
      </c>
      <c r="J532">
        <v>4</v>
      </c>
      <c r="K532" t="str" cm="1">
        <f t="array" ref="K53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533" spans="1:11" x14ac:dyDescent="0.35">
      <c r="A533" s="16" t="s">
        <v>50</v>
      </c>
      <c r="B533" t="s">
        <v>28</v>
      </c>
      <c r="C533" t="s">
        <v>58</v>
      </c>
      <c r="D533" t="s">
        <v>13</v>
      </c>
      <c r="E533" t="s">
        <v>22</v>
      </c>
      <c r="F533" t="s">
        <v>19</v>
      </c>
      <c r="G533">
        <v>7</v>
      </c>
      <c r="H533">
        <v>7</v>
      </c>
      <c r="I533">
        <v>1</v>
      </c>
      <c r="J533">
        <v>1.6</v>
      </c>
      <c r="K533" t="str" cm="1">
        <f t="array" ref="K53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534" spans="1:11" x14ac:dyDescent="0.35">
      <c r="A534" s="16" t="s">
        <v>33</v>
      </c>
      <c r="B534" t="s">
        <v>46</v>
      </c>
      <c r="C534" t="s">
        <v>54</v>
      </c>
      <c r="D534" t="s">
        <v>26</v>
      </c>
      <c r="E534" t="s">
        <v>14</v>
      </c>
      <c r="F534" t="s">
        <v>19</v>
      </c>
      <c r="G534">
        <v>2</v>
      </c>
      <c r="H534">
        <v>2</v>
      </c>
      <c r="I534">
        <v>0</v>
      </c>
      <c r="J534">
        <v>3.1</v>
      </c>
      <c r="K534" t="str" cm="1">
        <f t="array" ref="K53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535" spans="1:11" x14ac:dyDescent="0.35">
      <c r="A535" s="16" t="s">
        <v>31</v>
      </c>
      <c r="B535" t="s">
        <v>41</v>
      </c>
      <c r="C535" t="s">
        <v>42</v>
      </c>
      <c r="D535" t="s">
        <v>22</v>
      </c>
      <c r="E535" t="s">
        <v>53</v>
      </c>
      <c r="F535" t="s">
        <v>15</v>
      </c>
      <c r="G535">
        <v>3</v>
      </c>
      <c r="H535">
        <v>3</v>
      </c>
      <c r="I535">
        <v>0</v>
      </c>
      <c r="J535">
        <v>2.4</v>
      </c>
      <c r="K535" t="str" cm="1">
        <f t="array" ref="K53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536" spans="1:11" x14ac:dyDescent="0.35">
      <c r="A536" s="16" t="s">
        <v>50</v>
      </c>
      <c r="B536" t="s">
        <v>37</v>
      </c>
      <c r="C536" t="s">
        <v>39</v>
      </c>
      <c r="D536" t="s">
        <v>21</v>
      </c>
      <c r="E536" t="s">
        <v>18</v>
      </c>
      <c r="F536" t="s">
        <v>15</v>
      </c>
      <c r="G536">
        <v>1</v>
      </c>
      <c r="H536">
        <v>1</v>
      </c>
      <c r="I536">
        <v>0</v>
      </c>
      <c r="J536">
        <v>3.5</v>
      </c>
      <c r="K536" t="str" cm="1">
        <f t="array" ref="K53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537" spans="1:11" x14ac:dyDescent="0.35">
      <c r="A537" s="16" t="s">
        <v>61</v>
      </c>
      <c r="B537" t="s">
        <v>34</v>
      </c>
      <c r="C537" t="s">
        <v>51</v>
      </c>
      <c r="D537" t="s">
        <v>32</v>
      </c>
      <c r="E537" t="s">
        <v>53</v>
      </c>
      <c r="F537" t="s">
        <v>19</v>
      </c>
      <c r="G537">
        <v>6</v>
      </c>
      <c r="H537">
        <v>5</v>
      </c>
      <c r="I537">
        <v>0</v>
      </c>
      <c r="J537">
        <v>2.8</v>
      </c>
      <c r="K537" t="str" cm="1">
        <f t="array" ref="K53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538" spans="1:11" x14ac:dyDescent="0.35">
      <c r="A538" s="16" t="s">
        <v>36</v>
      </c>
      <c r="B538" t="s">
        <v>11</v>
      </c>
      <c r="C538" t="s">
        <v>12</v>
      </c>
      <c r="D538" t="s">
        <v>22</v>
      </c>
      <c r="E538" t="s">
        <v>14</v>
      </c>
      <c r="F538" t="s">
        <v>15</v>
      </c>
      <c r="G538">
        <v>5</v>
      </c>
      <c r="H538">
        <v>3</v>
      </c>
      <c r="I538">
        <v>0</v>
      </c>
      <c r="J538">
        <v>4</v>
      </c>
      <c r="K538" t="str" cm="1">
        <f t="array" ref="K53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539" spans="1:11" x14ac:dyDescent="0.35">
      <c r="A539" s="16" t="s">
        <v>36</v>
      </c>
      <c r="B539" t="s">
        <v>28</v>
      </c>
      <c r="C539" t="s">
        <v>58</v>
      </c>
      <c r="D539" t="s">
        <v>22</v>
      </c>
      <c r="E539" t="s">
        <v>30</v>
      </c>
      <c r="F539" t="s">
        <v>15</v>
      </c>
      <c r="G539">
        <v>2</v>
      </c>
      <c r="H539">
        <v>2</v>
      </c>
      <c r="I539">
        <v>0</v>
      </c>
      <c r="J539">
        <v>3.2</v>
      </c>
      <c r="K539" t="str" cm="1">
        <f t="array" ref="K53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540" spans="1:11" x14ac:dyDescent="0.35">
      <c r="A540" s="16" t="s">
        <v>45</v>
      </c>
      <c r="B540" t="s">
        <v>28</v>
      </c>
      <c r="C540" t="s">
        <v>58</v>
      </c>
      <c r="D540" t="s">
        <v>32</v>
      </c>
      <c r="E540" t="s">
        <v>18</v>
      </c>
      <c r="F540" t="s">
        <v>19</v>
      </c>
      <c r="G540">
        <v>8</v>
      </c>
      <c r="H540">
        <v>7</v>
      </c>
      <c r="I540">
        <v>1</v>
      </c>
      <c r="J540">
        <v>2.2000000000000002</v>
      </c>
      <c r="K540" t="str" cm="1">
        <f t="array" ref="K54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541" spans="1:11" x14ac:dyDescent="0.35">
      <c r="A541" s="16" t="s">
        <v>59</v>
      </c>
      <c r="B541" t="s">
        <v>24</v>
      </c>
      <c r="C541" t="s">
        <v>64</v>
      </c>
      <c r="D541" t="s">
        <v>21</v>
      </c>
      <c r="E541" t="s">
        <v>53</v>
      </c>
      <c r="F541" t="s">
        <v>19</v>
      </c>
      <c r="G541">
        <v>9</v>
      </c>
      <c r="H541">
        <v>8</v>
      </c>
      <c r="I541">
        <v>1</v>
      </c>
      <c r="J541">
        <v>1.1000000000000001</v>
      </c>
      <c r="K541" t="str" cm="1">
        <f t="array" ref="K54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542" spans="1:11" x14ac:dyDescent="0.35">
      <c r="A542" s="16" t="s">
        <v>45</v>
      </c>
      <c r="B542" t="s">
        <v>37</v>
      </c>
      <c r="C542" t="s">
        <v>39</v>
      </c>
      <c r="D542" t="s">
        <v>26</v>
      </c>
      <c r="E542" t="s">
        <v>53</v>
      </c>
      <c r="F542" t="s">
        <v>15</v>
      </c>
      <c r="G542">
        <v>6</v>
      </c>
      <c r="H542">
        <v>6</v>
      </c>
      <c r="I542">
        <v>0</v>
      </c>
      <c r="J542">
        <v>2.9</v>
      </c>
      <c r="K542" t="str" cm="1">
        <f t="array" ref="K54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543" spans="1:11" x14ac:dyDescent="0.35">
      <c r="A543" s="16" t="s">
        <v>50</v>
      </c>
      <c r="B543" t="s">
        <v>41</v>
      </c>
      <c r="C543" t="s">
        <v>44</v>
      </c>
      <c r="D543" t="s">
        <v>40</v>
      </c>
      <c r="E543" t="s">
        <v>18</v>
      </c>
      <c r="F543" t="s">
        <v>19</v>
      </c>
      <c r="G543">
        <v>9</v>
      </c>
      <c r="H543">
        <v>8</v>
      </c>
      <c r="I543">
        <v>0</v>
      </c>
      <c r="J543">
        <v>4.7</v>
      </c>
      <c r="K543" t="str" cm="1">
        <f t="array" ref="K54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544" spans="1:11" x14ac:dyDescent="0.35">
      <c r="A544" s="16" t="s">
        <v>59</v>
      </c>
      <c r="B544" t="s">
        <v>46</v>
      </c>
      <c r="C544" t="s">
        <v>54</v>
      </c>
      <c r="D544" t="s">
        <v>40</v>
      </c>
      <c r="E544" t="s">
        <v>30</v>
      </c>
      <c r="F544" t="s">
        <v>15</v>
      </c>
      <c r="G544">
        <v>1</v>
      </c>
      <c r="H544">
        <v>1</v>
      </c>
      <c r="I544">
        <v>1</v>
      </c>
      <c r="J544">
        <v>3.8</v>
      </c>
      <c r="K544" t="str" cm="1">
        <f t="array" ref="K54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545" spans="1:11" x14ac:dyDescent="0.35">
      <c r="A545" s="16" t="s">
        <v>23</v>
      </c>
      <c r="B545" t="s">
        <v>48</v>
      </c>
      <c r="C545" t="s">
        <v>63</v>
      </c>
      <c r="D545" t="s">
        <v>40</v>
      </c>
      <c r="E545" t="s">
        <v>22</v>
      </c>
      <c r="F545" t="s">
        <v>19</v>
      </c>
      <c r="G545">
        <v>9</v>
      </c>
      <c r="H545">
        <v>8</v>
      </c>
      <c r="I545">
        <v>0</v>
      </c>
      <c r="J545">
        <v>1.8</v>
      </c>
      <c r="K545" t="str" cm="1">
        <f t="array" ref="K54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546" spans="1:11" x14ac:dyDescent="0.35">
      <c r="A546" s="16" t="s">
        <v>20</v>
      </c>
      <c r="B546" t="s">
        <v>41</v>
      </c>
      <c r="C546" t="s">
        <v>42</v>
      </c>
      <c r="D546" t="s">
        <v>32</v>
      </c>
      <c r="E546" t="s">
        <v>27</v>
      </c>
      <c r="F546" t="s">
        <v>19</v>
      </c>
      <c r="G546">
        <v>5</v>
      </c>
      <c r="H546">
        <v>5</v>
      </c>
      <c r="I546">
        <v>1</v>
      </c>
      <c r="J546">
        <v>3.9</v>
      </c>
      <c r="K546" t="str" cm="1">
        <f t="array" ref="K54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547" spans="1:11" x14ac:dyDescent="0.35">
      <c r="A547" s="16" t="s">
        <v>61</v>
      </c>
      <c r="B547" t="s">
        <v>48</v>
      </c>
      <c r="C547" t="s">
        <v>63</v>
      </c>
      <c r="D547" t="s">
        <v>21</v>
      </c>
      <c r="E547" t="s">
        <v>22</v>
      </c>
      <c r="F547" t="s">
        <v>15</v>
      </c>
      <c r="G547">
        <v>4</v>
      </c>
      <c r="H547">
        <v>4</v>
      </c>
      <c r="I547">
        <v>0</v>
      </c>
      <c r="J547">
        <v>2.6</v>
      </c>
      <c r="K547" t="str" cm="1">
        <f t="array" ref="K54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548" spans="1:11" x14ac:dyDescent="0.35">
      <c r="A548" s="16" t="s">
        <v>31</v>
      </c>
      <c r="B548" t="s">
        <v>46</v>
      </c>
      <c r="C548" t="s">
        <v>47</v>
      </c>
      <c r="D548" t="s">
        <v>26</v>
      </c>
      <c r="E548" t="s">
        <v>30</v>
      </c>
      <c r="F548" t="s">
        <v>15</v>
      </c>
      <c r="G548">
        <v>4</v>
      </c>
      <c r="H548">
        <v>4</v>
      </c>
      <c r="I548">
        <v>0</v>
      </c>
      <c r="J548">
        <v>3.4</v>
      </c>
      <c r="K548" t="str" cm="1">
        <f t="array" ref="K54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549" spans="1:11" x14ac:dyDescent="0.35">
      <c r="A549" s="16" t="s">
        <v>43</v>
      </c>
      <c r="B549" t="s">
        <v>28</v>
      </c>
      <c r="C549" t="s">
        <v>29</v>
      </c>
      <c r="D549" t="s">
        <v>32</v>
      </c>
      <c r="E549" t="s">
        <v>53</v>
      </c>
      <c r="F549" t="s">
        <v>19</v>
      </c>
      <c r="G549">
        <v>6</v>
      </c>
      <c r="H549">
        <v>5</v>
      </c>
      <c r="I549">
        <v>0</v>
      </c>
      <c r="J549">
        <v>3.9</v>
      </c>
      <c r="K549" t="str" cm="1">
        <f t="array" ref="K54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550" spans="1:11" x14ac:dyDescent="0.35">
      <c r="A550" s="16" t="s">
        <v>43</v>
      </c>
      <c r="B550" t="s">
        <v>56</v>
      </c>
      <c r="C550" t="s">
        <v>62</v>
      </c>
      <c r="D550" t="s">
        <v>13</v>
      </c>
      <c r="E550" t="s">
        <v>18</v>
      </c>
      <c r="F550" t="s">
        <v>15</v>
      </c>
      <c r="G550">
        <v>5</v>
      </c>
      <c r="H550">
        <v>4</v>
      </c>
      <c r="I550">
        <v>1</v>
      </c>
      <c r="J550">
        <v>3.4</v>
      </c>
      <c r="K550" t="str" cm="1">
        <f t="array" ref="K55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551" spans="1:11" x14ac:dyDescent="0.35">
      <c r="A551" s="16" t="s">
        <v>23</v>
      </c>
      <c r="B551" t="s">
        <v>11</v>
      </c>
      <c r="C551" t="s">
        <v>52</v>
      </c>
      <c r="D551" t="s">
        <v>26</v>
      </c>
      <c r="E551" t="s">
        <v>30</v>
      </c>
      <c r="F551" t="s">
        <v>15</v>
      </c>
      <c r="G551">
        <v>7</v>
      </c>
      <c r="H551">
        <v>7</v>
      </c>
      <c r="I551">
        <v>0</v>
      </c>
      <c r="J551">
        <v>3.2</v>
      </c>
      <c r="K551" t="str" cm="1">
        <f t="array" ref="K55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552" spans="1:11" x14ac:dyDescent="0.35">
      <c r="A552" s="16" t="s">
        <v>36</v>
      </c>
      <c r="B552" t="s">
        <v>46</v>
      </c>
      <c r="C552" t="s">
        <v>47</v>
      </c>
      <c r="D552" t="s">
        <v>22</v>
      </c>
      <c r="E552" t="s">
        <v>53</v>
      </c>
      <c r="F552" t="s">
        <v>19</v>
      </c>
      <c r="G552">
        <v>3</v>
      </c>
      <c r="H552">
        <v>3</v>
      </c>
      <c r="I552">
        <v>0</v>
      </c>
      <c r="J552">
        <v>1.3</v>
      </c>
      <c r="K552" t="str" cm="1">
        <f t="array" ref="K55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553" spans="1:11" x14ac:dyDescent="0.35">
      <c r="A553" s="16" t="s">
        <v>59</v>
      </c>
      <c r="B553" t="s">
        <v>24</v>
      </c>
      <c r="C553" t="s">
        <v>25</v>
      </c>
      <c r="D553" t="s">
        <v>22</v>
      </c>
      <c r="E553" t="s">
        <v>27</v>
      </c>
      <c r="F553" t="s">
        <v>19</v>
      </c>
      <c r="G553">
        <v>7</v>
      </c>
      <c r="H553">
        <v>7</v>
      </c>
      <c r="I553">
        <v>0</v>
      </c>
      <c r="J553">
        <v>2.5</v>
      </c>
      <c r="K553" t="str" cm="1">
        <f t="array" ref="K55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554" spans="1:11" x14ac:dyDescent="0.35">
      <c r="A554" s="16" t="s">
        <v>20</v>
      </c>
      <c r="B554" t="s">
        <v>34</v>
      </c>
      <c r="C554" t="s">
        <v>51</v>
      </c>
      <c r="D554" t="s">
        <v>32</v>
      </c>
      <c r="E554" t="s">
        <v>18</v>
      </c>
      <c r="F554" t="s">
        <v>15</v>
      </c>
      <c r="G554">
        <v>2</v>
      </c>
      <c r="H554">
        <v>2</v>
      </c>
      <c r="I554">
        <v>0</v>
      </c>
      <c r="J554">
        <v>5.4</v>
      </c>
      <c r="K554" t="str" cm="1">
        <f t="array" ref="K55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555" spans="1:11" x14ac:dyDescent="0.35">
      <c r="A555" s="16" t="s">
        <v>20</v>
      </c>
      <c r="B555" t="s">
        <v>24</v>
      </c>
      <c r="C555" t="s">
        <v>64</v>
      </c>
      <c r="D555" t="s">
        <v>13</v>
      </c>
      <c r="E555" t="s">
        <v>14</v>
      </c>
      <c r="F555" t="s">
        <v>19</v>
      </c>
      <c r="G555">
        <v>3</v>
      </c>
      <c r="H555">
        <v>3</v>
      </c>
      <c r="I555">
        <v>0</v>
      </c>
      <c r="J555">
        <v>3.4</v>
      </c>
      <c r="K555" t="str" cm="1">
        <f t="array" ref="K55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556" spans="1:11" x14ac:dyDescent="0.35">
      <c r="A556" s="16" t="s">
        <v>23</v>
      </c>
      <c r="B556" t="s">
        <v>16</v>
      </c>
      <c r="C556" t="s">
        <v>17</v>
      </c>
      <c r="D556" t="s">
        <v>26</v>
      </c>
      <c r="E556" t="s">
        <v>14</v>
      </c>
      <c r="F556" t="s">
        <v>19</v>
      </c>
      <c r="G556">
        <v>4</v>
      </c>
      <c r="H556">
        <v>4</v>
      </c>
      <c r="I556">
        <v>0</v>
      </c>
      <c r="J556">
        <v>2.9</v>
      </c>
      <c r="K556" t="str" cm="1">
        <f t="array" ref="K55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557" spans="1:11" x14ac:dyDescent="0.35">
      <c r="A557" s="16" t="s">
        <v>61</v>
      </c>
      <c r="B557" t="s">
        <v>11</v>
      </c>
      <c r="C557" t="s">
        <v>52</v>
      </c>
      <c r="D557" t="s">
        <v>32</v>
      </c>
      <c r="E557" t="s">
        <v>53</v>
      </c>
      <c r="F557" t="s">
        <v>19</v>
      </c>
      <c r="G557">
        <v>3</v>
      </c>
      <c r="H557">
        <v>3</v>
      </c>
      <c r="I557">
        <v>0</v>
      </c>
      <c r="J557">
        <v>2.4</v>
      </c>
      <c r="K557" t="str" cm="1">
        <f t="array" ref="K55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558" spans="1:11" x14ac:dyDescent="0.35">
      <c r="A558" s="16" t="s">
        <v>61</v>
      </c>
      <c r="B558" t="s">
        <v>48</v>
      </c>
      <c r="C558" t="s">
        <v>63</v>
      </c>
      <c r="D558" t="s">
        <v>22</v>
      </c>
      <c r="E558" t="s">
        <v>14</v>
      </c>
      <c r="F558" t="s">
        <v>19</v>
      </c>
      <c r="G558">
        <v>3</v>
      </c>
      <c r="H558">
        <v>3</v>
      </c>
      <c r="I558">
        <v>0</v>
      </c>
      <c r="J558">
        <v>4.5999999999999996</v>
      </c>
      <c r="K558" t="str" cm="1">
        <f t="array" ref="K55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559" spans="1:11" x14ac:dyDescent="0.35">
      <c r="A559" s="16" t="s">
        <v>43</v>
      </c>
      <c r="B559" t="s">
        <v>41</v>
      </c>
      <c r="C559" t="s">
        <v>42</v>
      </c>
      <c r="D559" t="s">
        <v>32</v>
      </c>
      <c r="E559" t="s">
        <v>18</v>
      </c>
      <c r="F559" t="s">
        <v>19</v>
      </c>
      <c r="G559">
        <v>6</v>
      </c>
      <c r="H559">
        <v>4</v>
      </c>
      <c r="I559">
        <v>0</v>
      </c>
      <c r="J559">
        <v>3.8</v>
      </c>
      <c r="K559" t="str" cm="1">
        <f t="array" ref="K55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560" spans="1:11" x14ac:dyDescent="0.35">
      <c r="A560" s="16" t="s">
        <v>23</v>
      </c>
      <c r="B560" t="s">
        <v>24</v>
      </c>
      <c r="C560" t="s">
        <v>25</v>
      </c>
      <c r="D560" t="s">
        <v>22</v>
      </c>
      <c r="E560" t="s">
        <v>18</v>
      </c>
      <c r="F560" t="s">
        <v>19</v>
      </c>
      <c r="G560">
        <v>7</v>
      </c>
      <c r="H560">
        <v>6</v>
      </c>
      <c r="I560">
        <v>0</v>
      </c>
      <c r="J560">
        <v>4.4000000000000004</v>
      </c>
      <c r="K560" t="str" cm="1">
        <f t="array" ref="K56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561" spans="1:11" x14ac:dyDescent="0.35">
      <c r="A561" s="16" t="s">
        <v>10</v>
      </c>
      <c r="B561" t="s">
        <v>56</v>
      </c>
      <c r="C561" t="s">
        <v>62</v>
      </c>
      <c r="D561" t="s">
        <v>32</v>
      </c>
      <c r="E561" t="s">
        <v>27</v>
      </c>
      <c r="F561" t="s">
        <v>15</v>
      </c>
      <c r="G561">
        <v>4</v>
      </c>
      <c r="H561">
        <v>4</v>
      </c>
      <c r="I561">
        <v>0</v>
      </c>
      <c r="J561">
        <v>1.4</v>
      </c>
      <c r="K561" t="str" cm="1">
        <f t="array" ref="K56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562" spans="1:11" x14ac:dyDescent="0.35">
      <c r="A562" s="16" t="s">
        <v>36</v>
      </c>
      <c r="B562" t="s">
        <v>56</v>
      </c>
      <c r="C562" t="s">
        <v>57</v>
      </c>
      <c r="D562" t="s">
        <v>21</v>
      </c>
      <c r="E562" t="s">
        <v>18</v>
      </c>
      <c r="F562" t="s">
        <v>15</v>
      </c>
      <c r="G562">
        <v>6</v>
      </c>
      <c r="H562">
        <v>6</v>
      </c>
      <c r="I562">
        <v>1</v>
      </c>
      <c r="J562">
        <v>3.8</v>
      </c>
      <c r="K562" t="str" cm="1">
        <f t="array" ref="K56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563" spans="1:11" x14ac:dyDescent="0.35">
      <c r="A563" s="16" t="s">
        <v>36</v>
      </c>
      <c r="B563" t="s">
        <v>16</v>
      </c>
      <c r="C563" t="s">
        <v>60</v>
      </c>
      <c r="D563" t="s">
        <v>22</v>
      </c>
      <c r="E563" t="s">
        <v>30</v>
      </c>
      <c r="F563" t="s">
        <v>19</v>
      </c>
      <c r="G563">
        <v>4</v>
      </c>
      <c r="H563">
        <v>4</v>
      </c>
      <c r="I563">
        <v>0</v>
      </c>
      <c r="J563">
        <v>4.0999999999999996</v>
      </c>
      <c r="K563" t="str" cm="1">
        <f t="array" ref="K56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564" spans="1:11" x14ac:dyDescent="0.35">
      <c r="A564" s="16" t="s">
        <v>20</v>
      </c>
      <c r="B564" t="s">
        <v>16</v>
      </c>
      <c r="C564" t="s">
        <v>17</v>
      </c>
      <c r="D564" t="s">
        <v>32</v>
      </c>
      <c r="E564" t="s">
        <v>27</v>
      </c>
      <c r="F564" t="s">
        <v>15</v>
      </c>
      <c r="G564">
        <v>4</v>
      </c>
      <c r="H564">
        <v>4</v>
      </c>
      <c r="I564">
        <v>0</v>
      </c>
      <c r="J564">
        <v>2.6</v>
      </c>
      <c r="K564" t="str" cm="1">
        <f t="array" ref="K56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565" spans="1:11" x14ac:dyDescent="0.35">
      <c r="A565" s="16" t="s">
        <v>23</v>
      </c>
      <c r="B565" t="s">
        <v>34</v>
      </c>
      <c r="C565" t="s">
        <v>51</v>
      </c>
      <c r="D565" t="s">
        <v>26</v>
      </c>
      <c r="E565" t="s">
        <v>27</v>
      </c>
      <c r="F565" t="s">
        <v>19</v>
      </c>
      <c r="G565">
        <v>2</v>
      </c>
      <c r="H565">
        <v>2</v>
      </c>
      <c r="I565">
        <v>0</v>
      </c>
      <c r="J565">
        <v>4.5</v>
      </c>
      <c r="K565" t="str" cm="1">
        <f t="array" ref="K56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566" spans="1:11" x14ac:dyDescent="0.35">
      <c r="A566" s="16" t="s">
        <v>55</v>
      </c>
      <c r="B566" t="s">
        <v>16</v>
      </c>
      <c r="C566" t="s">
        <v>17</v>
      </c>
      <c r="D566" t="s">
        <v>21</v>
      </c>
      <c r="E566" t="s">
        <v>27</v>
      </c>
      <c r="F566" t="s">
        <v>19</v>
      </c>
      <c r="G566">
        <v>6</v>
      </c>
      <c r="H566">
        <v>4</v>
      </c>
      <c r="I566">
        <v>1</v>
      </c>
      <c r="J566">
        <v>3.2</v>
      </c>
      <c r="K566" t="str" cm="1">
        <f t="array" ref="K56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567" spans="1:11" x14ac:dyDescent="0.35">
      <c r="A567" s="16" t="s">
        <v>36</v>
      </c>
      <c r="B567" t="s">
        <v>28</v>
      </c>
      <c r="C567" t="s">
        <v>58</v>
      </c>
      <c r="D567" t="s">
        <v>21</v>
      </c>
      <c r="E567" t="s">
        <v>14</v>
      </c>
      <c r="F567" t="s">
        <v>15</v>
      </c>
      <c r="G567">
        <v>7</v>
      </c>
      <c r="H567">
        <v>6</v>
      </c>
      <c r="I567">
        <v>1</v>
      </c>
      <c r="J567">
        <v>3.4</v>
      </c>
      <c r="K567" t="str" cm="1">
        <f t="array" ref="K56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568" spans="1:11" x14ac:dyDescent="0.35">
      <c r="A568" s="16" t="s">
        <v>31</v>
      </c>
      <c r="B568" t="s">
        <v>46</v>
      </c>
      <c r="C568" t="s">
        <v>54</v>
      </c>
      <c r="D568" t="s">
        <v>22</v>
      </c>
      <c r="E568" t="s">
        <v>18</v>
      </c>
      <c r="F568" t="s">
        <v>15</v>
      </c>
      <c r="G568">
        <v>3</v>
      </c>
      <c r="H568">
        <v>1</v>
      </c>
      <c r="I568">
        <v>0</v>
      </c>
      <c r="J568">
        <v>4.2</v>
      </c>
      <c r="K568" t="str" cm="1">
        <f t="array" ref="K56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569" spans="1:11" x14ac:dyDescent="0.35">
      <c r="A569" s="16" t="s">
        <v>23</v>
      </c>
      <c r="B569" t="s">
        <v>48</v>
      </c>
      <c r="C569" t="s">
        <v>49</v>
      </c>
      <c r="D569" t="s">
        <v>22</v>
      </c>
      <c r="E569" t="s">
        <v>53</v>
      </c>
      <c r="F569" t="s">
        <v>15</v>
      </c>
      <c r="G569">
        <v>5</v>
      </c>
      <c r="H569">
        <v>4</v>
      </c>
      <c r="I569">
        <v>0</v>
      </c>
      <c r="J569">
        <v>2.5</v>
      </c>
      <c r="K569" t="str" cm="1">
        <f t="array" ref="K56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570" spans="1:11" x14ac:dyDescent="0.35">
      <c r="A570" s="16" t="s">
        <v>31</v>
      </c>
      <c r="B570" t="s">
        <v>16</v>
      </c>
      <c r="C570" t="s">
        <v>17</v>
      </c>
      <c r="D570" t="s">
        <v>13</v>
      </c>
      <c r="E570" t="s">
        <v>14</v>
      </c>
      <c r="F570" t="s">
        <v>15</v>
      </c>
      <c r="G570">
        <v>4</v>
      </c>
      <c r="H570">
        <v>4</v>
      </c>
      <c r="I570">
        <v>0</v>
      </c>
      <c r="J570">
        <v>2.5</v>
      </c>
      <c r="K570" t="str" cm="1">
        <f t="array" ref="K57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571" spans="1:11" x14ac:dyDescent="0.35">
      <c r="A571" s="16" t="s">
        <v>31</v>
      </c>
      <c r="B571" t="s">
        <v>28</v>
      </c>
      <c r="C571" t="s">
        <v>58</v>
      </c>
      <c r="D571" t="s">
        <v>26</v>
      </c>
      <c r="E571" t="s">
        <v>14</v>
      </c>
      <c r="F571" t="s">
        <v>19</v>
      </c>
      <c r="G571">
        <v>4</v>
      </c>
      <c r="H571">
        <v>4</v>
      </c>
      <c r="I571">
        <v>0</v>
      </c>
      <c r="J571">
        <v>2</v>
      </c>
      <c r="K571" t="str" cm="1">
        <f t="array" ref="K57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572" spans="1:11" x14ac:dyDescent="0.35">
      <c r="A572" s="16" t="s">
        <v>33</v>
      </c>
      <c r="B572" t="s">
        <v>46</v>
      </c>
      <c r="C572" t="s">
        <v>47</v>
      </c>
      <c r="D572" t="s">
        <v>22</v>
      </c>
      <c r="E572" t="s">
        <v>27</v>
      </c>
      <c r="F572" t="s">
        <v>15</v>
      </c>
      <c r="G572">
        <v>4</v>
      </c>
      <c r="H572">
        <v>3</v>
      </c>
      <c r="I572">
        <v>0</v>
      </c>
      <c r="J572">
        <v>2.9</v>
      </c>
      <c r="K572" t="str" cm="1">
        <f t="array" ref="K57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573" spans="1:11" x14ac:dyDescent="0.35">
      <c r="A573" s="16" t="s">
        <v>33</v>
      </c>
      <c r="B573" t="s">
        <v>56</v>
      </c>
      <c r="C573" t="s">
        <v>62</v>
      </c>
      <c r="D573" t="s">
        <v>21</v>
      </c>
      <c r="E573" t="s">
        <v>53</v>
      </c>
      <c r="F573" t="s">
        <v>19</v>
      </c>
      <c r="G573">
        <v>10</v>
      </c>
      <c r="H573">
        <v>7</v>
      </c>
      <c r="I573">
        <v>1</v>
      </c>
      <c r="J573">
        <v>2.6</v>
      </c>
      <c r="K573" t="str" cm="1">
        <f t="array" ref="K57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574" spans="1:11" x14ac:dyDescent="0.35">
      <c r="A574" s="16" t="s">
        <v>33</v>
      </c>
      <c r="B574" t="s">
        <v>48</v>
      </c>
      <c r="C574" t="s">
        <v>49</v>
      </c>
      <c r="D574" t="s">
        <v>26</v>
      </c>
      <c r="E574" t="s">
        <v>22</v>
      </c>
      <c r="F574" t="s">
        <v>19</v>
      </c>
      <c r="G574">
        <v>3</v>
      </c>
      <c r="H574">
        <v>3</v>
      </c>
      <c r="I574">
        <v>0</v>
      </c>
      <c r="J574">
        <v>2.8</v>
      </c>
      <c r="K574" t="str" cm="1">
        <f t="array" ref="K57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575" spans="1:11" x14ac:dyDescent="0.35">
      <c r="A575" s="16" t="s">
        <v>10</v>
      </c>
      <c r="B575" t="s">
        <v>48</v>
      </c>
      <c r="C575" t="s">
        <v>49</v>
      </c>
      <c r="D575" t="s">
        <v>26</v>
      </c>
      <c r="E575" t="s">
        <v>53</v>
      </c>
      <c r="F575" t="s">
        <v>19</v>
      </c>
      <c r="G575">
        <v>5</v>
      </c>
      <c r="H575">
        <v>5</v>
      </c>
      <c r="I575">
        <v>1</v>
      </c>
      <c r="J575">
        <v>3.3</v>
      </c>
      <c r="K575" t="str" cm="1">
        <f t="array" ref="K57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576" spans="1:11" x14ac:dyDescent="0.35">
      <c r="A576" s="16" t="s">
        <v>50</v>
      </c>
      <c r="B576" t="s">
        <v>37</v>
      </c>
      <c r="C576" t="s">
        <v>38</v>
      </c>
      <c r="D576" t="s">
        <v>13</v>
      </c>
      <c r="E576" t="s">
        <v>14</v>
      </c>
      <c r="F576" t="s">
        <v>19</v>
      </c>
      <c r="G576">
        <v>3</v>
      </c>
      <c r="H576">
        <v>2</v>
      </c>
      <c r="I576">
        <v>0</v>
      </c>
      <c r="J576">
        <v>2.4</v>
      </c>
      <c r="K576" t="str" cm="1">
        <f t="array" ref="K57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577" spans="1:11" x14ac:dyDescent="0.35">
      <c r="A577" s="16" t="s">
        <v>36</v>
      </c>
      <c r="B577" t="s">
        <v>46</v>
      </c>
      <c r="C577" t="s">
        <v>47</v>
      </c>
      <c r="D577" t="s">
        <v>22</v>
      </c>
      <c r="E577" t="s">
        <v>14</v>
      </c>
      <c r="F577" t="s">
        <v>19</v>
      </c>
      <c r="G577">
        <v>7</v>
      </c>
      <c r="H577">
        <v>6</v>
      </c>
      <c r="I577">
        <v>2</v>
      </c>
      <c r="J577">
        <v>2.5</v>
      </c>
      <c r="K577" t="str" cm="1">
        <f t="array" ref="K57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578" spans="1:11" x14ac:dyDescent="0.35">
      <c r="A578" s="16" t="s">
        <v>43</v>
      </c>
      <c r="B578" t="s">
        <v>16</v>
      </c>
      <c r="C578" t="s">
        <v>60</v>
      </c>
      <c r="D578" t="s">
        <v>40</v>
      </c>
      <c r="E578" t="s">
        <v>14</v>
      </c>
      <c r="F578" t="s">
        <v>19</v>
      </c>
      <c r="G578">
        <v>1</v>
      </c>
      <c r="H578">
        <v>1</v>
      </c>
      <c r="I578">
        <v>0</v>
      </c>
      <c r="J578">
        <v>2.9</v>
      </c>
      <c r="K578" t="str" cm="1">
        <f t="array" ref="K57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579" spans="1:11" x14ac:dyDescent="0.35">
      <c r="A579" s="16" t="s">
        <v>59</v>
      </c>
      <c r="B579" t="s">
        <v>41</v>
      </c>
      <c r="C579" t="s">
        <v>44</v>
      </c>
      <c r="D579" t="s">
        <v>32</v>
      </c>
      <c r="E579" t="s">
        <v>53</v>
      </c>
      <c r="F579" t="s">
        <v>15</v>
      </c>
      <c r="G579">
        <v>3</v>
      </c>
      <c r="H579">
        <v>3</v>
      </c>
      <c r="I579">
        <v>0</v>
      </c>
      <c r="J579">
        <v>1.9</v>
      </c>
      <c r="K579" t="str" cm="1">
        <f t="array" ref="K57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580" spans="1:11" x14ac:dyDescent="0.35">
      <c r="A580" s="16" t="s">
        <v>45</v>
      </c>
      <c r="B580" t="s">
        <v>34</v>
      </c>
      <c r="C580" t="s">
        <v>35</v>
      </c>
      <c r="D580" t="s">
        <v>26</v>
      </c>
      <c r="E580" t="s">
        <v>27</v>
      </c>
      <c r="F580" t="s">
        <v>19</v>
      </c>
      <c r="G580">
        <v>8</v>
      </c>
      <c r="H580">
        <v>6</v>
      </c>
      <c r="I580">
        <v>2</v>
      </c>
      <c r="J580">
        <v>0</v>
      </c>
      <c r="K580" t="str" cm="1">
        <f t="array" ref="K58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581" spans="1:11" x14ac:dyDescent="0.35">
      <c r="A581" s="16" t="s">
        <v>43</v>
      </c>
      <c r="B581" t="s">
        <v>48</v>
      </c>
      <c r="C581" t="s">
        <v>63</v>
      </c>
      <c r="D581" t="s">
        <v>32</v>
      </c>
      <c r="E581" t="s">
        <v>14</v>
      </c>
      <c r="F581" t="s">
        <v>15</v>
      </c>
      <c r="G581">
        <v>4</v>
      </c>
      <c r="H581">
        <v>4</v>
      </c>
      <c r="I581">
        <v>0</v>
      </c>
      <c r="J581">
        <v>3.6</v>
      </c>
      <c r="K581" t="str" cm="1">
        <f t="array" ref="K58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582" spans="1:11" x14ac:dyDescent="0.35">
      <c r="A582" s="16" t="s">
        <v>20</v>
      </c>
      <c r="B582" t="s">
        <v>41</v>
      </c>
      <c r="C582" t="s">
        <v>42</v>
      </c>
      <c r="D582" t="s">
        <v>40</v>
      </c>
      <c r="E582" t="s">
        <v>27</v>
      </c>
      <c r="F582" t="s">
        <v>15</v>
      </c>
      <c r="G582">
        <v>3</v>
      </c>
      <c r="H582">
        <v>3</v>
      </c>
      <c r="I582">
        <v>0</v>
      </c>
      <c r="J582">
        <v>1.3</v>
      </c>
      <c r="K582" t="str" cm="1">
        <f t="array" ref="K58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583" spans="1:11" x14ac:dyDescent="0.35">
      <c r="A583" s="16" t="s">
        <v>50</v>
      </c>
      <c r="B583" t="s">
        <v>56</v>
      </c>
      <c r="C583" t="s">
        <v>62</v>
      </c>
      <c r="D583" t="s">
        <v>13</v>
      </c>
      <c r="E583" t="s">
        <v>53</v>
      </c>
      <c r="F583" t="s">
        <v>19</v>
      </c>
      <c r="G583">
        <v>5</v>
      </c>
      <c r="H583">
        <v>5</v>
      </c>
      <c r="I583">
        <v>1</v>
      </c>
      <c r="J583">
        <v>3.1</v>
      </c>
      <c r="K583" t="str" cm="1">
        <f t="array" ref="K58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584" spans="1:11" x14ac:dyDescent="0.35">
      <c r="A584" s="16" t="s">
        <v>36</v>
      </c>
      <c r="B584" t="s">
        <v>34</v>
      </c>
      <c r="C584" t="s">
        <v>51</v>
      </c>
      <c r="D584" t="s">
        <v>21</v>
      </c>
      <c r="E584" t="s">
        <v>30</v>
      </c>
      <c r="F584" t="s">
        <v>19</v>
      </c>
      <c r="G584">
        <v>0</v>
      </c>
      <c r="H584">
        <v>0</v>
      </c>
      <c r="I584">
        <v>0</v>
      </c>
      <c r="J584">
        <v>3</v>
      </c>
      <c r="K584" t="str" cm="1">
        <f t="array" ref="K58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585" spans="1:11" x14ac:dyDescent="0.35">
      <c r="A585" s="16" t="s">
        <v>55</v>
      </c>
      <c r="B585" t="s">
        <v>16</v>
      </c>
      <c r="C585" t="s">
        <v>60</v>
      </c>
      <c r="D585" t="s">
        <v>22</v>
      </c>
      <c r="E585" t="s">
        <v>22</v>
      </c>
      <c r="F585" t="s">
        <v>19</v>
      </c>
      <c r="G585">
        <v>1</v>
      </c>
      <c r="H585">
        <v>1</v>
      </c>
      <c r="I585">
        <v>0</v>
      </c>
      <c r="J585">
        <v>3.6</v>
      </c>
      <c r="K585" t="str" cm="1">
        <f t="array" ref="K58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586" spans="1:11" x14ac:dyDescent="0.35">
      <c r="A586" s="16" t="s">
        <v>23</v>
      </c>
      <c r="B586" t="s">
        <v>11</v>
      </c>
      <c r="C586" t="s">
        <v>52</v>
      </c>
      <c r="D586" t="s">
        <v>21</v>
      </c>
      <c r="E586" t="s">
        <v>22</v>
      </c>
      <c r="F586" t="s">
        <v>19</v>
      </c>
      <c r="G586">
        <v>6</v>
      </c>
      <c r="H586">
        <v>4</v>
      </c>
      <c r="I586">
        <v>1</v>
      </c>
      <c r="J586">
        <v>5.5</v>
      </c>
      <c r="K586" t="str" cm="1">
        <f t="array" ref="K58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587" spans="1:11" x14ac:dyDescent="0.35">
      <c r="A587" s="16" t="s">
        <v>31</v>
      </c>
      <c r="B587" t="s">
        <v>46</v>
      </c>
      <c r="C587" t="s">
        <v>47</v>
      </c>
      <c r="D587" t="s">
        <v>32</v>
      </c>
      <c r="E587" t="s">
        <v>27</v>
      </c>
      <c r="F587" t="s">
        <v>19</v>
      </c>
      <c r="G587">
        <v>8</v>
      </c>
      <c r="H587">
        <v>8</v>
      </c>
      <c r="I587">
        <v>0</v>
      </c>
      <c r="J587">
        <v>3</v>
      </c>
      <c r="K587" t="str" cm="1">
        <f t="array" ref="K58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588" spans="1:11" x14ac:dyDescent="0.35">
      <c r="A588" s="16" t="s">
        <v>45</v>
      </c>
      <c r="B588" t="s">
        <v>46</v>
      </c>
      <c r="C588" t="s">
        <v>47</v>
      </c>
      <c r="D588" t="s">
        <v>13</v>
      </c>
      <c r="E588" t="s">
        <v>18</v>
      </c>
      <c r="F588" t="s">
        <v>19</v>
      </c>
      <c r="G588">
        <v>7</v>
      </c>
      <c r="H588">
        <v>7</v>
      </c>
      <c r="I588">
        <v>0</v>
      </c>
      <c r="J588">
        <v>3.2</v>
      </c>
      <c r="K588" t="str" cm="1">
        <f t="array" ref="K58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589" spans="1:11" x14ac:dyDescent="0.35">
      <c r="A589" s="16" t="s">
        <v>33</v>
      </c>
      <c r="B589" t="s">
        <v>37</v>
      </c>
      <c r="C589" t="s">
        <v>39</v>
      </c>
      <c r="D589" t="s">
        <v>21</v>
      </c>
      <c r="E589" t="s">
        <v>22</v>
      </c>
      <c r="F589" t="s">
        <v>15</v>
      </c>
      <c r="G589">
        <v>8</v>
      </c>
      <c r="H589">
        <v>8</v>
      </c>
      <c r="I589">
        <v>0</v>
      </c>
      <c r="J589">
        <v>5.2</v>
      </c>
      <c r="K589" t="str" cm="1">
        <f t="array" ref="K58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590" spans="1:11" x14ac:dyDescent="0.35">
      <c r="A590" s="16" t="s">
        <v>61</v>
      </c>
      <c r="B590" t="s">
        <v>37</v>
      </c>
      <c r="C590" t="s">
        <v>38</v>
      </c>
      <c r="D590" t="s">
        <v>40</v>
      </c>
      <c r="E590" t="s">
        <v>53</v>
      </c>
      <c r="F590" t="s">
        <v>19</v>
      </c>
      <c r="G590">
        <v>7</v>
      </c>
      <c r="H590">
        <v>5</v>
      </c>
      <c r="I590">
        <v>2</v>
      </c>
      <c r="J590">
        <v>1.1000000000000001</v>
      </c>
      <c r="K590" t="str" cm="1">
        <f t="array" ref="K59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591" spans="1:11" x14ac:dyDescent="0.35">
      <c r="A591" s="16" t="s">
        <v>20</v>
      </c>
      <c r="B591" t="s">
        <v>37</v>
      </c>
      <c r="C591" t="s">
        <v>39</v>
      </c>
      <c r="D591" t="s">
        <v>13</v>
      </c>
      <c r="E591" t="s">
        <v>53</v>
      </c>
      <c r="F591" t="s">
        <v>15</v>
      </c>
      <c r="G591">
        <v>4</v>
      </c>
      <c r="H591">
        <v>4</v>
      </c>
      <c r="I591">
        <v>0</v>
      </c>
      <c r="J591">
        <v>2.4</v>
      </c>
      <c r="K591" t="str" cm="1">
        <f t="array" ref="K59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592" spans="1:11" x14ac:dyDescent="0.35">
      <c r="A592" s="16" t="s">
        <v>33</v>
      </c>
      <c r="B592" t="s">
        <v>56</v>
      </c>
      <c r="C592" t="s">
        <v>62</v>
      </c>
      <c r="D592" t="s">
        <v>21</v>
      </c>
      <c r="E592" t="s">
        <v>22</v>
      </c>
      <c r="F592" t="s">
        <v>15</v>
      </c>
      <c r="G592">
        <v>4</v>
      </c>
      <c r="H592">
        <v>4</v>
      </c>
      <c r="I592">
        <v>1</v>
      </c>
      <c r="J592">
        <v>1.7</v>
      </c>
      <c r="K592" t="str" cm="1">
        <f t="array" ref="K59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593" spans="1:11" x14ac:dyDescent="0.35">
      <c r="A593" s="16" t="s">
        <v>10</v>
      </c>
      <c r="B593" t="s">
        <v>46</v>
      </c>
      <c r="C593" t="s">
        <v>47</v>
      </c>
      <c r="D593" t="s">
        <v>22</v>
      </c>
      <c r="E593" t="s">
        <v>27</v>
      </c>
      <c r="F593" t="s">
        <v>15</v>
      </c>
      <c r="G593">
        <v>6</v>
      </c>
      <c r="H593">
        <v>5</v>
      </c>
      <c r="I593">
        <v>0</v>
      </c>
      <c r="J593">
        <v>0.9</v>
      </c>
      <c r="K593" t="str" cm="1">
        <f t="array" ref="K59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594" spans="1:11" x14ac:dyDescent="0.35">
      <c r="A594" s="16" t="s">
        <v>23</v>
      </c>
      <c r="B594" t="s">
        <v>48</v>
      </c>
      <c r="C594" t="s">
        <v>63</v>
      </c>
      <c r="D594" t="s">
        <v>26</v>
      </c>
      <c r="E594" t="s">
        <v>22</v>
      </c>
      <c r="F594" t="s">
        <v>19</v>
      </c>
      <c r="G594">
        <v>4</v>
      </c>
      <c r="H594">
        <v>3</v>
      </c>
      <c r="I594">
        <v>0</v>
      </c>
      <c r="J594">
        <v>2.6</v>
      </c>
      <c r="K594" t="str" cm="1">
        <f t="array" ref="K59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595" spans="1:11" x14ac:dyDescent="0.35">
      <c r="A595" s="16" t="s">
        <v>61</v>
      </c>
      <c r="B595" t="s">
        <v>41</v>
      </c>
      <c r="C595" t="s">
        <v>42</v>
      </c>
      <c r="D595" t="s">
        <v>26</v>
      </c>
      <c r="E595" t="s">
        <v>27</v>
      </c>
      <c r="F595" t="s">
        <v>19</v>
      </c>
      <c r="G595">
        <v>3</v>
      </c>
      <c r="H595">
        <v>3</v>
      </c>
      <c r="I595">
        <v>0</v>
      </c>
      <c r="J595">
        <v>2.7</v>
      </c>
      <c r="K595" t="str" cm="1">
        <f t="array" ref="K59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596" spans="1:11" x14ac:dyDescent="0.35">
      <c r="A596" s="16" t="s">
        <v>33</v>
      </c>
      <c r="B596" t="s">
        <v>48</v>
      </c>
      <c r="C596" t="s">
        <v>49</v>
      </c>
      <c r="D596" t="s">
        <v>13</v>
      </c>
      <c r="E596" t="s">
        <v>27</v>
      </c>
      <c r="F596" t="s">
        <v>19</v>
      </c>
      <c r="G596">
        <v>3</v>
      </c>
      <c r="H596">
        <v>3</v>
      </c>
      <c r="I596">
        <v>0</v>
      </c>
      <c r="J596">
        <v>2.4</v>
      </c>
      <c r="K596" t="str" cm="1">
        <f t="array" ref="K59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597" spans="1:11" x14ac:dyDescent="0.35">
      <c r="A597" s="16" t="s">
        <v>33</v>
      </c>
      <c r="B597" t="s">
        <v>48</v>
      </c>
      <c r="C597" t="s">
        <v>63</v>
      </c>
      <c r="D597" t="s">
        <v>22</v>
      </c>
      <c r="E597" t="s">
        <v>22</v>
      </c>
      <c r="F597" t="s">
        <v>15</v>
      </c>
      <c r="G597">
        <v>5</v>
      </c>
      <c r="H597">
        <v>5</v>
      </c>
      <c r="I597">
        <v>0</v>
      </c>
      <c r="J597">
        <v>1.8</v>
      </c>
      <c r="K597" t="str" cm="1">
        <f t="array" ref="K59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598" spans="1:11" x14ac:dyDescent="0.35">
      <c r="A598" s="16" t="s">
        <v>50</v>
      </c>
      <c r="B598" t="s">
        <v>34</v>
      </c>
      <c r="C598" t="s">
        <v>35</v>
      </c>
      <c r="D598" t="s">
        <v>22</v>
      </c>
      <c r="E598" t="s">
        <v>14</v>
      </c>
      <c r="F598" t="s">
        <v>15</v>
      </c>
      <c r="G598">
        <v>7</v>
      </c>
      <c r="H598">
        <v>6</v>
      </c>
      <c r="I598">
        <v>0</v>
      </c>
      <c r="J598">
        <v>1.3</v>
      </c>
      <c r="K598" t="str" cm="1">
        <f t="array" ref="K59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599" spans="1:11" x14ac:dyDescent="0.35">
      <c r="A599" s="16" t="s">
        <v>50</v>
      </c>
      <c r="B599" t="s">
        <v>37</v>
      </c>
      <c r="C599" t="s">
        <v>38</v>
      </c>
      <c r="D599" t="s">
        <v>21</v>
      </c>
      <c r="E599" t="s">
        <v>14</v>
      </c>
      <c r="F599" t="s">
        <v>19</v>
      </c>
      <c r="G599">
        <v>9</v>
      </c>
      <c r="H599">
        <v>8</v>
      </c>
      <c r="I599">
        <v>0</v>
      </c>
      <c r="J599">
        <v>2.1</v>
      </c>
      <c r="K599" t="str" cm="1">
        <f t="array" ref="K59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00" spans="1:11" x14ac:dyDescent="0.35">
      <c r="A600" s="16" t="s">
        <v>20</v>
      </c>
      <c r="B600" t="s">
        <v>34</v>
      </c>
      <c r="C600" t="s">
        <v>35</v>
      </c>
      <c r="D600" t="s">
        <v>13</v>
      </c>
      <c r="E600" t="s">
        <v>14</v>
      </c>
      <c r="F600" t="s">
        <v>19</v>
      </c>
      <c r="G600">
        <v>6</v>
      </c>
      <c r="H600">
        <v>5</v>
      </c>
      <c r="I600">
        <v>1</v>
      </c>
      <c r="J600">
        <v>4.9000000000000004</v>
      </c>
      <c r="K600" t="str" cm="1">
        <f t="array" ref="K60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601" spans="1:11" x14ac:dyDescent="0.35">
      <c r="A601" s="16" t="s">
        <v>61</v>
      </c>
      <c r="B601" t="s">
        <v>11</v>
      </c>
      <c r="C601" t="s">
        <v>12</v>
      </c>
      <c r="D601" t="s">
        <v>22</v>
      </c>
      <c r="E601" t="s">
        <v>27</v>
      </c>
      <c r="F601" t="s">
        <v>15</v>
      </c>
      <c r="G601">
        <v>2</v>
      </c>
      <c r="H601">
        <v>2</v>
      </c>
      <c r="I601">
        <v>0</v>
      </c>
      <c r="J601">
        <v>4</v>
      </c>
      <c r="K601" t="str" cm="1">
        <f t="array" ref="K60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602" spans="1:11" x14ac:dyDescent="0.35">
      <c r="A602" s="16" t="s">
        <v>10</v>
      </c>
      <c r="B602" t="s">
        <v>56</v>
      </c>
      <c r="C602" t="s">
        <v>62</v>
      </c>
      <c r="D602" t="s">
        <v>21</v>
      </c>
      <c r="E602" t="s">
        <v>18</v>
      </c>
      <c r="F602" t="s">
        <v>15</v>
      </c>
      <c r="G602">
        <v>4</v>
      </c>
      <c r="H602">
        <v>4</v>
      </c>
      <c r="I602">
        <v>1</v>
      </c>
      <c r="J602">
        <v>3.4</v>
      </c>
      <c r="K602" t="str" cm="1">
        <f t="array" ref="K60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603" spans="1:11" x14ac:dyDescent="0.35">
      <c r="A603" s="16" t="s">
        <v>20</v>
      </c>
      <c r="B603" t="s">
        <v>46</v>
      </c>
      <c r="C603" t="s">
        <v>54</v>
      </c>
      <c r="D603" t="s">
        <v>13</v>
      </c>
      <c r="E603" t="s">
        <v>18</v>
      </c>
      <c r="F603" t="s">
        <v>19</v>
      </c>
      <c r="G603">
        <v>4</v>
      </c>
      <c r="H603">
        <v>4</v>
      </c>
      <c r="I603">
        <v>1</v>
      </c>
      <c r="J603">
        <v>3.7</v>
      </c>
      <c r="K603" t="str" cm="1">
        <f t="array" ref="K60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604" spans="1:11" x14ac:dyDescent="0.35">
      <c r="A604" s="16" t="s">
        <v>36</v>
      </c>
      <c r="B604" t="s">
        <v>56</v>
      </c>
      <c r="C604" t="s">
        <v>57</v>
      </c>
      <c r="D604" t="s">
        <v>26</v>
      </c>
      <c r="E604" t="s">
        <v>27</v>
      </c>
      <c r="F604" t="s">
        <v>19</v>
      </c>
      <c r="G604">
        <v>4</v>
      </c>
      <c r="H604">
        <v>4</v>
      </c>
      <c r="I604">
        <v>0</v>
      </c>
      <c r="J604">
        <v>1.3</v>
      </c>
      <c r="K604" t="str" cm="1">
        <f t="array" ref="K60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05" spans="1:11" x14ac:dyDescent="0.35">
      <c r="A605" s="16" t="s">
        <v>50</v>
      </c>
      <c r="B605" t="s">
        <v>16</v>
      </c>
      <c r="C605" t="s">
        <v>17</v>
      </c>
      <c r="D605" t="s">
        <v>13</v>
      </c>
      <c r="E605" t="s">
        <v>30</v>
      </c>
      <c r="F605" t="s">
        <v>19</v>
      </c>
      <c r="G605">
        <v>4</v>
      </c>
      <c r="H605">
        <v>4</v>
      </c>
      <c r="I605">
        <v>0</v>
      </c>
      <c r="J605">
        <v>2.5</v>
      </c>
      <c r="K605" t="str" cm="1">
        <f t="array" ref="K60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06" spans="1:11" x14ac:dyDescent="0.35">
      <c r="A606" s="16" t="s">
        <v>50</v>
      </c>
      <c r="B606" t="s">
        <v>41</v>
      </c>
      <c r="C606" t="s">
        <v>44</v>
      </c>
      <c r="D606" t="s">
        <v>26</v>
      </c>
      <c r="E606" t="s">
        <v>18</v>
      </c>
      <c r="F606" t="s">
        <v>15</v>
      </c>
      <c r="G606">
        <v>8</v>
      </c>
      <c r="H606">
        <v>8</v>
      </c>
      <c r="I606">
        <v>0</v>
      </c>
      <c r="J606">
        <v>2.4</v>
      </c>
      <c r="K606" t="str" cm="1">
        <f t="array" ref="K60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07" spans="1:11" x14ac:dyDescent="0.35">
      <c r="A607" s="16" t="s">
        <v>45</v>
      </c>
      <c r="B607" t="s">
        <v>46</v>
      </c>
      <c r="C607" t="s">
        <v>47</v>
      </c>
      <c r="D607" t="s">
        <v>21</v>
      </c>
      <c r="E607" t="s">
        <v>30</v>
      </c>
      <c r="F607" t="s">
        <v>15</v>
      </c>
      <c r="G607">
        <v>6</v>
      </c>
      <c r="H607">
        <v>5</v>
      </c>
      <c r="I607">
        <v>0</v>
      </c>
      <c r="J607">
        <v>2.6</v>
      </c>
      <c r="K607" t="str" cm="1">
        <f t="array" ref="K60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608" spans="1:11" x14ac:dyDescent="0.35">
      <c r="A608" s="16" t="s">
        <v>55</v>
      </c>
      <c r="B608" t="s">
        <v>46</v>
      </c>
      <c r="C608" t="s">
        <v>54</v>
      </c>
      <c r="D608" t="s">
        <v>22</v>
      </c>
      <c r="E608" t="s">
        <v>22</v>
      </c>
      <c r="F608" t="s">
        <v>19</v>
      </c>
      <c r="G608">
        <v>6</v>
      </c>
      <c r="H608">
        <v>5</v>
      </c>
      <c r="I608">
        <v>0</v>
      </c>
      <c r="J608">
        <v>3.5</v>
      </c>
      <c r="K608" t="str" cm="1">
        <f t="array" ref="K60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609" spans="1:11" x14ac:dyDescent="0.35">
      <c r="A609" s="16" t="s">
        <v>36</v>
      </c>
      <c r="B609" t="s">
        <v>46</v>
      </c>
      <c r="C609" t="s">
        <v>47</v>
      </c>
      <c r="D609" t="s">
        <v>26</v>
      </c>
      <c r="E609" t="s">
        <v>27</v>
      </c>
      <c r="F609" t="s">
        <v>19</v>
      </c>
      <c r="G609">
        <v>6</v>
      </c>
      <c r="H609">
        <v>6</v>
      </c>
      <c r="I609">
        <v>1</v>
      </c>
      <c r="J609">
        <v>4.0999999999999996</v>
      </c>
      <c r="K609" t="str" cm="1">
        <f t="array" ref="K60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10" spans="1:11" x14ac:dyDescent="0.35">
      <c r="A610" s="16" t="s">
        <v>31</v>
      </c>
      <c r="B610" t="s">
        <v>48</v>
      </c>
      <c r="C610" t="s">
        <v>63</v>
      </c>
      <c r="D610" t="s">
        <v>40</v>
      </c>
      <c r="E610" t="s">
        <v>14</v>
      </c>
      <c r="F610" t="s">
        <v>15</v>
      </c>
      <c r="G610">
        <v>4</v>
      </c>
      <c r="H610">
        <v>3</v>
      </c>
      <c r="I610">
        <v>0</v>
      </c>
      <c r="J610">
        <v>3.3</v>
      </c>
      <c r="K610" t="str" cm="1">
        <f t="array" ref="K61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611" spans="1:11" x14ac:dyDescent="0.35">
      <c r="A611" s="16" t="s">
        <v>59</v>
      </c>
      <c r="B611" t="s">
        <v>16</v>
      </c>
      <c r="C611" t="s">
        <v>60</v>
      </c>
      <c r="D611" t="s">
        <v>32</v>
      </c>
      <c r="E611" t="s">
        <v>30</v>
      </c>
      <c r="F611" t="s">
        <v>19</v>
      </c>
      <c r="G611">
        <v>4</v>
      </c>
      <c r="H611">
        <v>3</v>
      </c>
      <c r="I611">
        <v>0</v>
      </c>
      <c r="J611">
        <v>1.1000000000000001</v>
      </c>
      <c r="K611" t="str" cm="1">
        <f t="array" ref="K61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12" spans="1:11" x14ac:dyDescent="0.35">
      <c r="A612" s="16" t="s">
        <v>31</v>
      </c>
      <c r="B612" t="s">
        <v>41</v>
      </c>
      <c r="C612" t="s">
        <v>42</v>
      </c>
      <c r="D612" t="s">
        <v>13</v>
      </c>
      <c r="E612" t="s">
        <v>53</v>
      </c>
      <c r="F612" t="s">
        <v>19</v>
      </c>
      <c r="G612">
        <v>4</v>
      </c>
      <c r="H612">
        <v>4</v>
      </c>
      <c r="I612">
        <v>0</v>
      </c>
      <c r="J612">
        <v>1.2</v>
      </c>
      <c r="K612" t="str" cm="1">
        <f t="array" ref="K61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613" spans="1:11" x14ac:dyDescent="0.35">
      <c r="A613" s="16" t="s">
        <v>36</v>
      </c>
      <c r="B613" t="s">
        <v>41</v>
      </c>
      <c r="C613" t="s">
        <v>44</v>
      </c>
      <c r="D613" t="s">
        <v>13</v>
      </c>
      <c r="E613" t="s">
        <v>27</v>
      </c>
      <c r="F613" t="s">
        <v>15</v>
      </c>
      <c r="G613">
        <v>4</v>
      </c>
      <c r="H613">
        <v>3</v>
      </c>
      <c r="I613">
        <v>1</v>
      </c>
      <c r="J613">
        <v>0.8</v>
      </c>
      <c r="K613" t="str" cm="1">
        <f t="array" ref="K61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14" spans="1:11" x14ac:dyDescent="0.35">
      <c r="A614" s="16" t="s">
        <v>31</v>
      </c>
      <c r="B614" t="s">
        <v>46</v>
      </c>
      <c r="C614" t="s">
        <v>54</v>
      </c>
      <c r="D614" t="s">
        <v>13</v>
      </c>
      <c r="E614" t="s">
        <v>30</v>
      </c>
      <c r="F614" t="s">
        <v>19</v>
      </c>
      <c r="G614">
        <v>3</v>
      </c>
      <c r="H614">
        <v>2</v>
      </c>
      <c r="I614">
        <v>0</v>
      </c>
      <c r="J614">
        <v>2.8</v>
      </c>
      <c r="K614" t="str" cm="1">
        <f t="array" ref="K61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615" spans="1:11" x14ac:dyDescent="0.35">
      <c r="A615" s="16" t="s">
        <v>45</v>
      </c>
      <c r="B615" t="s">
        <v>37</v>
      </c>
      <c r="C615" t="s">
        <v>39</v>
      </c>
      <c r="D615" t="s">
        <v>32</v>
      </c>
      <c r="E615" t="s">
        <v>30</v>
      </c>
      <c r="F615" t="s">
        <v>19</v>
      </c>
      <c r="G615">
        <v>5</v>
      </c>
      <c r="H615">
        <v>5</v>
      </c>
      <c r="I615">
        <v>0</v>
      </c>
      <c r="J615">
        <v>4.2</v>
      </c>
      <c r="K615" t="str" cm="1">
        <f t="array" ref="K61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616" spans="1:11" x14ac:dyDescent="0.35">
      <c r="A616" s="16" t="s">
        <v>61</v>
      </c>
      <c r="B616" t="s">
        <v>34</v>
      </c>
      <c r="C616" t="s">
        <v>35</v>
      </c>
      <c r="D616" t="s">
        <v>21</v>
      </c>
      <c r="E616" t="s">
        <v>14</v>
      </c>
      <c r="F616" t="s">
        <v>19</v>
      </c>
      <c r="G616">
        <v>3</v>
      </c>
      <c r="H616">
        <v>3</v>
      </c>
      <c r="I616">
        <v>0</v>
      </c>
      <c r="J616">
        <v>2.5</v>
      </c>
      <c r="K616" t="str" cm="1">
        <f t="array" ref="K61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617" spans="1:11" x14ac:dyDescent="0.35">
      <c r="A617" s="16" t="s">
        <v>20</v>
      </c>
      <c r="B617" t="s">
        <v>48</v>
      </c>
      <c r="C617" t="s">
        <v>63</v>
      </c>
      <c r="D617" t="s">
        <v>32</v>
      </c>
      <c r="E617" t="s">
        <v>27</v>
      </c>
      <c r="F617" t="s">
        <v>19</v>
      </c>
      <c r="G617">
        <v>3</v>
      </c>
      <c r="H617">
        <v>2</v>
      </c>
      <c r="I617">
        <v>0</v>
      </c>
      <c r="J617">
        <v>4</v>
      </c>
      <c r="K617" t="str" cm="1">
        <f t="array" ref="K61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618" spans="1:11" x14ac:dyDescent="0.35">
      <c r="A618" s="16" t="s">
        <v>36</v>
      </c>
      <c r="B618" t="s">
        <v>41</v>
      </c>
      <c r="C618" t="s">
        <v>44</v>
      </c>
      <c r="D618" t="s">
        <v>13</v>
      </c>
      <c r="E618" t="s">
        <v>53</v>
      </c>
      <c r="F618" t="s">
        <v>19</v>
      </c>
      <c r="G618">
        <v>5</v>
      </c>
      <c r="H618">
        <v>5</v>
      </c>
      <c r="I618">
        <v>0</v>
      </c>
      <c r="J618">
        <v>1.9</v>
      </c>
      <c r="K618" t="str" cm="1">
        <f t="array" ref="K61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19" spans="1:11" x14ac:dyDescent="0.35">
      <c r="A619" s="16" t="s">
        <v>43</v>
      </c>
      <c r="B619" t="s">
        <v>48</v>
      </c>
      <c r="C619" t="s">
        <v>49</v>
      </c>
      <c r="D619" t="s">
        <v>21</v>
      </c>
      <c r="E619" t="s">
        <v>30</v>
      </c>
      <c r="F619" t="s">
        <v>19</v>
      </c>
      <c r="G619">
        <v>7</v>
      </c>
      <c r="H619">
        <v>6</v>
      </c>
      <c r="I619">
        <v>1</v>
      </c>
      <c r="J619">
        <v>3.5</v>
      </c>
      <c r="K619" t="str" cm="1">
        <f t="array" ref="K61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620" spans="1:11" x14ac:dyDescent="0.35">
      <c r="A620" s="16" t="s">
        <v>36</v>
      </c>
      <c r="B620" t="s">
        <v>34</v>
      </c>
      <c r="C620" t="s">
        <v>51</v>
      </c>
      <c r="D620" t="s">
        <v>40</v>
      </c>
      <c r="E620" t="s">
        <v>27</v>
      </c>
      <c r="F620" t="s">
        <v>19</v>
      </c>
      <c r="G620">
        <v>4</v>
      </c>
      <c r="H620">
        <v>4</v>
      </c>
      <c r="I620">
        <v>0</v>
      </c>
      <c r="J620">
        <v>2.2000000000000002</v>
      </c>
      <c r="K620" t="str" cm="1">
        <f t="array" ref="K62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21" spans="1:11" x14ac:dyDescent="0.35">
      <c r="A621" s="16" t="s">
        <v>20</v>
      </c>
      <c r="B621" t="s">
        <v>46</v>
      </c>
      <c r="C621" t="s">
        <v>47</v>
      </c>
      <c r="D621" t="s">
        <v>26</v>
      </c>
      <c r="E621" t="s">
        <v>30</v>
      </c>
      <c r="F621" t="s">
        <v>15</v>
      </c>
      <c r="G621">
        <v>4</v>
      </c>
      <c r="H621">
        <v>3</v>
      </c>
      <c r="I621">
        <v>0</v>
      </c>
      <c r="J621">
        <v>3.6</v>
      </c>
      <c r="K621" t="str" cm="1">
        <f t="array" ref="K62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622" spans="1:11" x14ac:dyDescent="0.35">
      <c r="A622" s="16" t="s">
        <v>55</v>
      </c>
      <c r="B622" t="s">
        <v>16</v>
      </c>
      <c r="C622" t="s">
        <v>60</v>
      </c>
      <c r="D622" t="s">
        <v>32</v>
      </c>
      <c r="E622" t="s">
        <v>18</v>
      </c>
      <c r="F622" t="s">
        <v>15</v>
      </c>
      <c r="G622">
        <v>4</v>
      </c>
      <c r="H622">
        <v>3</v>
      </c>
      <c r="I622">
        <v>0</v>
      </c>
      <c r="J622">
        <v>2.2000000000000002</v>
      </c>
      <c r="K622" t="str" cm="1">
        <f t="array" ref="K62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623" spans="1:11" x14ac:dyDescent="0.35">
      <c r="A623" s="16" t="s">
        <v>59</v>
      </c>
      <c r="B623" t="s">
        <v>48</v>
      </c>
      <c r="C623" t="s">
        <v>49</v>
      </c>
      <c r="D623" t="s">
        <v>32</v>
      </c>
      <c r="E623" t="s">
        <v>14</v>
      </c>
      <c r="F623" t="s">
        <v>19</v>
      </c>
      <c r="G623">
        <v>5</v>
      </c>
      <c r="H623">
        <v>5</v>
      </c>
      <c r="I623">
        <v>0</v>
      </c>
      <c r="J623">
        <v>4.0999999999999996</v>
      </c>
      <c r="K623" t="str" cm="1">
        <f t="array" ref="K62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24" spans="1:11" x14ac:dyDescent="0.35">
      <c r="A624" s="16" t="s">
        <v>59</v>
      </c>
      <c r="B624" t="s">
        <v>16</v>
      </c>
      <c r="C624" t="s">
        <v>17</v>
      </c>
      <c r="D624" t="s">
        <v>40</v>
      </c>
      <c r="E624" t="s">
        <v>14</v>
      </c>
      <c r="F624" t="s">
        <v>19</v>
      </c>
      <c r="G624">
        <v>6</v>
      </c>
      <c r="H624">
        <v>4</v>
      </c>
      <c r="I624">
        <v>0</v>
      </c>
      <c r="J624">
        <v>3.2</v>
      </c>
      <c r="K624" t="str" cm="1">
        <f t="array" ref="K62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25" spans="1:11" x14ac:dyDescent="0.35">
      <c r="A625" s="16" t="s">
        <v>43</v>
      </c>
      <c r="B625" t="s">
        <v>24</v>
      </c>
      <c r="C625" t="s">
        <v>25</v>
      </c>
      <c r="D625" t="s">
        <v>40</v>
      </c>
      <c r="E625" t="s">
        <v>27</v>
      </c>
      <c r="F625" t="s">
        <v>19</v>
      </c>
      <c r="G625">
        <v>3</v>
      </c>
      <c r="H625">
        <v>3</v>
      </c>
      <c r="I625">
        <v>0</v>
      </c>
      <c r="J625">
        <v>3.4</v>
      </c>
      <c r="K625" t="str" cm="1">
        <f t="array" ref="K62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626" spans="1:11" x14ac:dyDescent="0.35">
      <c r="A626" s="16" t="s">
        <v>20</v>
      </c>
      <c r="B626" t="s">
        <v>46</v>
      </c>
      <c r="C626" t="s">
        <v>47</v>
      </c>
      <c r="D626" t="s">
        <v>26</v>
      </c>
      <c r="E626" t="s">
        <v>18</v>
      </c>
      <c r="F626" t="s">
        <v>19</v>
      </c>
      <c r="G626">
        <v>3</v>
      </c>
      <c r="H626">
        <v>3</v>
      </c>
      <c r="I626">
        <v>0</v>
      </c>
      <c r="J626">
        <v>4.3</v>
      </c>
      <c r="K626" t="str" cm="1">
        <f t="array" ref="K62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627" spans="1:11" x14ac:dyDescent="0.35">
      <c r="A627" s="16" t="s">
        <v>20</v>
      </c>
      <c r="B627" t="s">
        <v>24</v>
      </c>
      <c r="C627" t="s">
        <v>25</v>
      </c>
      <c r="D627" t="s">
        <v>21</v>
      </c>
      <c r="E627" t="s">
        <v>18</v>
      </c>
      <c r="F627" t="s">
        <v>15</v>
      </c>
      <c r="G627">
        <v>5</v>
      </c>
      <c r="H627">
        <v>5</v>
      </c>
      <c r="I627">
        <v>1</v>
      </c>
      <c r="J627">
        <v>1.7</v>
      </c>
      <c r="K627" t="str" cm="1">
        <f t="array" ref="K62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628" spans="1:11" x14ac:dyDescent="0.35">
      <c r="A628" s="16" t="s">
        <v>59</v>
      </c>
      <c r="B628" t="s">
        <v>11</v>
      </c>
      <c r="C628" t="s">
        <v>52</v>
      </c>
      <c r="D628" t="s">
        <v>32</v>
      </c>
      <c r="E628" t="s">
        <v>14</v>
      </c>
      <c r="F628" t="s">
        <v>15</v>
      </c>
      <c r="G628">
        <v>9</v>
      </c>
      <c r="H628">
        <v>7</v>
      </c>
      <c r="I628">
        <v>0</v>
      </c>
      <c r="J628">
        <v>3.1</v>
      </c>
      <c r="K628" t="str" cm="1">
        <f t="array" ref="K62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29" spans="1:11" x14ac:dyDescent="0.35">
      <c r="A629" s="16" t="s">
        <v>50</v>
      </c>
      <c r="B629" t="s">
        <v>46</v>
      </c>
      <c r="C629" t="s">
        <v>54</v>
      </c>
      <c r="D629" t="s">
        <v>21</v>
      </c>
      <c r="E629" t="s">
        <v>27</v>
      </c>
      <c r="F629" t="s">
        <v>15</v>
      </c>
      <c r="G629">
        <v>8</v>
      </c>
      <c r="H629">
        <v>6</v>
      </c>
      <c r="I629">
        <v>1</v>
      </c>
      <c r="J629">
        <v>3.1</v>
      </c>
      <c r="K629" t="str" cm="1">
        <f t="array" ref="K62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30" spans="1:11" x14ac:dyDescent="0.35">
      <c r="A630" s="16" t="s">
        <v>23</v>
      </c>
      <c r="B630" t="s">
        <v>41</v>
      </c>
      <c r="C630" t="s">
        <v>44</v>
      </c>
      <c r="D630" t="s">
        <v>26</v>
      </c>
      <c r="E630" t="s">
        <v>22</v>
      </c>
      <c r="F630" t="s">
        <v>19</v>
      </c>
      <c r="G630">
        <v>2</v>
      </c>
      <c r="H630">
        <v>1</v>
      </c>
      <c r="I630">
        <v>0</v>
      </c>
      <c r="J630">
        <v>2</v>
      </c>
      <c r="K630" t="str" cm="1">
        <f t="array" ref="K63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631" spans="1:11" x14ac:dyDescent="0.35">
      <c r="A631" s="16" t="s">
        <v>55</v>
      </c>
      <c r="B631" t="s">
        <v>48</v>
      </c>
      <c r="C631" t="s">
        <v>49</v>
      </c>
      <c r="D631" t="s">
        <v>22</v>
      </c>
      <c r="E631" t="s">
        <v>30</v>
      </c>
      <c r="F631" t="s">
        <v>19</v>
      </c>
      <c r="G631">
        <v>3</v>
      </c>
      <c r="H631">
        <v>3</v>
      </c>
      <c r="I631">
        <v>0</v>
      </c>
      <c r="J631">
        <v>3.9</v>
      </c>
      <c r="K631" t="str" cm="1">
        <f t="array" ref="K63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632" spans="1:11" x14ac:dyDescent="0.35">
      <c r="A632" s="16" t="s">
        <v>50</v>
      </c>
      <c r="B632" t="s">
        <v>24</v>
      </c>
      <c r="C632" t="s">
        <v>25</v>
      </c>
      <c r="D632" t="s">
        <v>22</v>
      </c>
      <c r="E632" t="s">
        <v>18</v>
      </c>
      <c r="F632" t="s">
        <v>19</v>
      </c>
      <c r="G632">
        <v>4</v>
      </c>
      <c r="H632">
        <v>4</v>
      </c>
      <c r="I632">
        <v>1</v>
      </c>
      <c r="J632">
        <v>3.8</v>
      </c>
      <c r="K632" t="str" cm="1">
        <f t="array" ref="K63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33" spans="1:11" x14ac:dyDescent="0.35">
      <c r="A633" s="16" t="s">
        <v>59</v>
      </c>
      <c r="B633" t="s">
        <v>34</v>
      </c>
      <c r="C633" t="s">
        <v>35</v>
      </c>
      <c r="D633" t="s">
        <v>32</v>
      </c>
      <c r="E633" t="s">
        <v>18</v>
      </c>
      <c r="F633" t="s">
        <v>19</v>
      </c>
      <c r="G633">
        <v>8</v>
      </c>
      <c r="H633">
        <v>5</v>
      </c>
      <c r="I633">
        <v>2</v>
      </c>
      <c r="J633">
        <v>2.4</v>
      </c>
      <c r="K633" t="str" cm="1">
        <f t="array" ref="K63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34" spans="1:11" x14ac:dyDescent="0.35">
      <c r="A634" s="16" t="s">
        <v>31</v>
      </c>
      <c r="B634" t="s">
        <v>11</v>
      </c>
      <c r="C634" t="s">
        <v>12</v>
      </c>
      <c r="D634" t="s">
        <v>21</v>
      </c>
      <c r="E634" t="s">
        <v>27</v>
      </c>
      <c r="F634" t="s">
        <v>19</v>
      </c>
      <c r="G634">
        <v>2</v>
      </c>
      <c r="H634">
        <v>2</v>
      </c>
      <c r="I634">
        <v>0</v>
      </c>
      <c r="J634">
        <v>2.2999999999999998</v>
      </c>
      <c r="K634" t="str" cm="1">
        <f t="array" ref="K63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635" spans="1:11" x14ac:dyDescent="0.35">
      <c r="A635" s="16" t="s">
        <v>59</v>
      </c>
      <c r="B635" t="s">
        <v>41</v>
      </c>
      <c r="C635" t="s">
        <v>44</v>
      </c>
      <c r="D635" t="s">
        <v>40</v>
      </c>
      <c r="E635" t="s">
        <v>30</v>
      </c>
      <c r="F635" t="s">
        <v>15</v>
      </c>
      <c r="G635">
        <v>7</v>
      </c>
      <c r="H635">
        <v>7</v>
      </c>
      <c r="I635">
        <v>0</v>
      </c>
      <c r="J635">
        <v>2.8</v>
      </c>
      <c r="K635" t="str" cm="1">
        <f t="array" ref="K63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36" spans="1:11" x14ac:dyDescent="0.35">
      <c r="A636" s="16" t="s">
        <v>45</v>
      </c>
      <c r="B636" t="s">
        <v>24</v>
      </c>
      <c r="C636" t="s">
        <v>64</v>
      </c>
      <c r="D636" t="s">
        <v>22</v>
      </c>
      <c r="E636" t="s">
        <v>14</v>
      </c>
      <c r="F636" t="s">
        <v>19</v>
      </c>
      <c r="G636">
        <v>7</v>
      </c>
      <c r="H636">
        <v>7</v>
      </c>
      <c r="I636">
        <v>0</v>
      </c>
      <c r="J636">
        <v>2.4</v>
      </c>
      <c r="K636" t="str" cm="1">
        <f t="array" ref="K63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637" spans="1:11" x14ac:dyDescent="0.35">
      <c r="A637" s="16" t="s">
        <v>10</v>
      </c>
      <c r="B637" t="s">
        <v>56</v>
      </c>
      <c r="C637" t="s">
        <v>57</v>
      </c>
      <c r="D637" t="s">
        <v>26</v>
      </c>
      <c r="E637" t="s">
        <v>18</v>
      </c>
      <c r="F637" t="s">
        <v>19</v>
      </c>
      <c r="G637">
        <v>9</v>
      </c>
      <c r="H637">
        <v>8</v>
      </c>
      <c r="I637">
        <v>0</v>
      </c>
      <c r="J637">
        <v>3.2</v>
      </c>
      <c r="K637" t="str" cm="1">
        <f t="array" ref="K63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638" spans="1:11" x14ac:dyDescent="0.35">
      <c r="A638" s="16" t="s">
        <v>43</v>
      </c>
      <c r="B638" t="s">
        <v>48</v>
      </c>
      <c r="C638" t="s">
        <v>63</v>
      </c>
      <c r="D638" t="s">
        <v>40</v>
      </c>
      <c r="E638" t="s">
        <v>22</v>
      </c>
      <c r="F638" t="s">
        <v>19</v>
      </c>
      <c r="G638">
        <v>2</v>
      </c>
      <c r="H638">
        <v>2</v>
      </c>
      <c r="I638">
        <v>0</v>
      </c>
      <c r="J638">
        <v>2.2999999999999998</v>
      </c>
      <c r="K638" t="str" cm="1">
        <f t="array" ref="K63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639" spans="1:11" x14ac:dyDescent="0.35">
      <c r="A639" s="16" t="s">
        <v>33</v>
      </c>
      <c r="B639" t="s">
        <v>11</v>
      </c>
      <c r="C639" t="s">
        <v>52</v>
      </c>
      <c r="D639" t="s">
        <v>32</v>
      </c>
      <c r="E639" t="s">
        <v>27</v>
      </c>
      <c r="F639" t="s">
        <v>19</v>
      </c>
      <c r="G639">
        <v>7</v>
      </c>
      <c r="H639">
        <v>6</v>
      </c>
      <c r="I639">
        <v>0</v>
      </c>
      <c r="J639">
        <v>2.2999999999999998</v>
      </c>
      <c r="K639" t="str" cm="1">
        <f t="array" ref="K63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640" spans="1:11" x14ac:dyDescent="0.35">
      <c r="A640" s="16" t="s">
        <v>31</v>
      </c>
      <c r="B640" t="s">
        <v>56</v>
      </c>
      <c r="C640" t="s">
        <v>62</v>
      </c>
      <c r="D640" t="s">
        <v>40</v>
      </c>
      <c r="E640" t="s">
        <v>53</v>
      </c>
      <c r="F640" t="s">
        <v>15</v>
      </c>
      <c r="G640">
        <v>1</v>
      </c>
      <c r="H640">
        <v>1</v>
      </c>
      <c r="I640">
        <v>0</v>
      </c>
      <c r="J640">
        <v>2.8</v>
      </c>
      <c r="K640" t="str" cm="1">
        <f t="array" ref="K64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641" spans="1:11" x14ac:dyDescent="0.35">
      <c r="A641" s="16" t="s">
        <v>33</v>
      </c>
      <c r="B641" t="s">
        <v>16</v>
      </c>
      <c r="C641" t="s">
        <v>17</v>
      </c>
      <c r="D641" t="s">
        <v>22</v>
      </c>
      <c r="E641" t="s">
        <v>27</v>
      </c>
      <c r="F641" t="s">
        <v>15</v>
      </c>
      <c r="G641">
        <v>7</v>
      </c>
      <c r="H641">
        <v>7</v>
      </c>
      <c r="I641">
        <v>0</v>
      </c>
      <c r="J641">
        <v>3</v>
      </c>
      <c r="K641" t="str" cm="1">
        <f t="array" ref="K64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642" spans="1:11" x14ac:dyDescent="0.35">
      <c r="A642" s="16" t="s">
        <v>20</v>
      </c>
      <c r="B642" t="s">
        <v>34</v>
      </c>
      <c r="C642" t="s">
        <v>35</v>
      </c>
      <c r="D642" t="s">
        <v>21</v>
      </c>
      <c r="E642" t="s">
        <v>18</v>
      </c>
      <c r="F642" t="s">
        <v>19</v>
      </c>
      <c r="G642">
        <v>7</v>
      </c>
      <c r="H642">
        <v>6</v>
      </c>
      <c r="I642">
        <v>0</v>
      </c>
      <c r="J642">
        <v>3</v>
      </c>
      <c r="K642" t="str" cm="1">
        <f t="array" ref="K64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643" spans="1:11" x14ac:dyDescent="0.35">
      <c r="A643" s="16" t="s">
        <v>23</v>
      </c>
      <c r="B643" t="s">
        <v>37</v>
      </c>
      <c r="C643" t="s">
        <v>38</v>
      </c>
      <c r="D643" t="s">
        <v>26</v>
      </c>
      <c r="E643" t="s">
        <v>53</v>
      </c>
      <c r="F643" t="s">
        <v>19</v>
      </c>
      <c r="G643">
        <v>8</v>
      </c>
      <c r="H643">
        <v>7</v>
      </c>
      <c r="I643">
        <v>0</v>
      </c>
      <c r="J643">
        <v>3.2</v>
      </c>
      <c r="K643" t="str" cm="1">
        <f t="array" ref="K64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644" spans="1:11" x14ac:dyDescent="0.35">
      <c r="A644" s="16" t="s">
        <v>43</v>
      </c>
      <c r="B644" t="s">
        <v>48</v>
      </c>
      <c r="C644" t="s">
        <v>49</v>
      </c>
      <c r="D644" t="s">
        <v>13</v>
      </c>
      <c r="E644" t="s">
        <v>53</v>
      </c>
      <c r="F644" t="s">
        <v>15</v>
      </c>
      <c r="G644">
        <v>7</v>
      </c>
      <c r="H644">
        <v>7</v>
      </c>
      <c r="I644">
        <v>0</v>
      </c>
      <c r="J644">
        <v>4.5</v>
      </c>
      <c r="K644" t="str" cm="1">
        <f t="array" ref="K64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645" spans="1:11" x14ac:dyDescent="0.35">
      <c r="A645" s="16" t="s">
        <v>45</v>
      </c>
      <c r="B645" t="s">
        <v>11</v>
      </c>
      <c r="C645" t="s">
        <v>52</v>
      </c>
      <c r="D645" t="s">
        <v>21</v>
      </c>
      <c r="E645" t="s">
        <v>22</v>
      </c>
      <c r="F645" t="s">
        <v>19</v>
      </c>
      <c r="G645">
        <v>5</v>
      </c>
      <c r="H645">
        <v>5</v>
      </c>
      <c r="I645">
        <v>0</v>
      </c>
      <c r="J645">
        <v>2.7</v>
      </c>
      <c r="K645" t="str" cm="1">
        <f t="array" ref="K64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646" spans="1:11" x14ac:dyDescent="0.35">
      <c r="A646" s="16" t="s">
        <v>31</v>
      </c>
      <c r="B646" t="s">
        <v>56</v>
      </c>
      <c r="C646" t="s">
        <v>62</v>
      </c>
      <c r="D646" t="s">
        <v>40</v>
      </c>
      <c r="E646" t="s">
        <v>18</v>
      </c>
      <c r="F646" t="s">
        <v>15</v>
      </c>
      <c r="G646">
        <v>6</v>
      </c>
      <c r="H646">
        <v>5</v>
      </c>
      <c r="I646">
        <v>0</v>
      </c>
      <c r="J646">
        <v>3.9</v>
      </c>
      <c r="K646" t="str" cm="1">
        <f t="array" ref="K64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647" spans="1:11" x14ac:dyDescent="0.35">
      <c r="A647" s="16" t="s">
        <v>59</v>
      </c>
      <c r="B647" t="s">
        <v>34</v>
      </c>
      <c r="C647" t="s">
        <v>35</v>
      </c>
      <c r="D647" t="s">
        <v>21</v>
      </c>
      <c r="E647" t="s">
        <v>22</v>
      </c>
      <c r="F647" t="s">
        <v>19</v>
      </c>
      <c r="G647">
        <v>5</v>
      </c>
      <c r="H647">
        <v>3</v>
      </c>
      <c r="I647">
        <v>0</v>
      </c>
      <c r="J647">
        <v>3.7</v>
      </c>
      <c r="K647" t="str" cm="1">
        <f t="array" ref="K64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48" spans="1:11" x14ac:dyDescent="0.35">
      <c r="A648" s="16" t="s">
        <v>10</v>
      </c>
      <c r="B648" t="s">
        <v>11</v>
      </c>
      <c r="C648" t="s">
        <v>12</v>
      </c>
      <c r="D648" t="s">
        <v>22</v>
      </c>
      <c r="E648" t="s">
        <v>27</v>
      </c>
      <c r="F648" t="s">
        <v>19</v>
      </c>
      <c r="G648">
        <v>5</v>
      </c>
      <c r="H648">
        <v>5</v>
      </c>
      <c r="I648">
        <v>0</v>
      </c>
      <c r="J648">
        <v>1.7</v>
      </c>
      <c r="K648" t="str" cm="1">
        <f t="array" ref="K64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649" spans="1:11" x14ac:dyDescent="0.35">
      <c r="A649" s="16" t="s">
        <v>23</v>
      </c>
      <c r="B649" t="s">
        <v>16</v>
      </c>
      <c r="C649" t="s">
        <v>17</v>
      </c>
      <c r="D649" t="s">
        <v>40</v>
      </c>
      <c r="E649" t="s">
        <v>30</v>
      </c>
      <c r="F649" t="s">
        <v>19</v>
      </c>
      <c r="G649">
        <v>1</v>
      </c>
      <c r="H649">
        <v>1</v>
      </c>
      <c r="I649">
        <v>0</v>
      </c>
      <c r="J649">
        <v>1.8</v>
      </c>
      <c r="K649" t="str" cm="1">
        <f t="array" ref="K64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650" spans="1:11" x14ac:dyDescent="0.35">
      <c r="A650" s="16" t="s">
        <v>50</v>
      </c>
      <c r="B650" t="s">
        <v>37</v>
      </c>
      <c r="C650" t="s">
        <v>39</v>
      </c>
      <c r="D650" t="s">
        <v>32</v>
      </c>
      <c r="E650" t="s">
        <v>22</v>
      </c>
      <c r="F650" t="s">
        <v>19</v>
      </c>
      <c r="G650">
        <v>3</v>
      </c>
      <c r="H650">
        <v>3</v>
      </c>
      <c r="I650">
        <v>0</v>
      </c>
      <c r="J650">
        <v>4.3</v>
      </c>
      <c r="K650" t="str" cm="1">
        <f t="array" ref="K65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51" spans="1:11" x14ac:dyDescent="0.35">
      <c r="A651" s="16" t="s">
        <v>45</v>
      </c>
      <c r="B651" t="s">
        <v>46</v>
      </c>
      <c r="C651" t="s">
        <v>47</v>
      </c>
      <c r="D651" t="s">
        <v>22</v>
      </c>
      <c r="E651" t="s">
        <v>30</v>
      </c>
      <c r="F651" t="s">
        <v>15</v>
      </c>
      <c r="G651">
        <v>8</v>
      </c>
      <c r="H651">
        <v>6</v>
      </c>
      <c r="I651">
        <v>1</v>
      </c>
      <c r="J651">
        <v>2.4</v>
      </c>
      <c r="K651" t="str" cm="1">
        <f t="array" ref="K65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652" spans="1:11" x14ac:dyDescent="0.35">
      <c r="A652" s="16" t="s">
        <v>61</v>
      </c>
      <c r="B652" t="s">
        <v>28</v>
      </c>
      <c r="C652" t="s">
        <v>58</v>
      </c>
      <c r="D652" t="s">
        <v>26</v>
      </c>
      <c r="E652" t="s">
        <v>18</v>
      </c>
      <c r="F652" t="s">
        <v>15</v>
      </c>
      <c r="G652">
        <v>6</v>
      </c>
      <c r="H652">
        <v>6</v>
      </c>
      <c r="I652">
        <v>0</v>
      </c>
      <c r="J652">
        <v>4.9000000000000004</v>
      </c>
      <c r="K652" t="str" cm="1">
        <f t="array" ref="K65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653" spans="1:11" x14ac:dyDescent="0.35">
      <c r="A653" s="16" t="s">
        <v>61</v>
      </c>
      <c r="B653" t="s">
        <v>56</v>
      </c>
      <c r="C653" t="s">
        <v>57</v>
      </c>
      <c r="D653" t="s">
        <v>40</v>
      </c>
      <c r="E653" t="s">
        <v>30</v>
      </c>
      <c r="F653" t="s">
        <v>19</v>
      </c>
      <c r="G653">
        <v>2</v>
      </c>
      <c r="H653">
        <v>2</v>
      </c>
      <c r="I653">
        <v>0</v>
      </c>
      <c r="J653">
        <v>4</v>
      </c>
      <c r="K653" t="str" cm="1">
        <f t="array" ref="K65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654" spans="1:11" x14ac:dyDescent="0.35">
      <c r="A654" s="16" t="s">
        <v>33</v>
      </c>
      <c r="B654" t="s">
        <v>48</v>
      </c>
      <c r="C654" t="s">
        <v>63</v>
      </c>
      <c r="D654" t="s">
        <v>40</v>
      </c>
      <c r="E654" t="s">
        <v>18</v>
      </c>
      <c r="F654" t="s">
        <v>19</v>
      </c>
      <c r="G654">
        <v>4</v>
      </c>
      <c r="H654">
        <v>4</v>
      </c>
      <c r="I654">
        <v>0</v>
      </c>
      <c r="J654">
        <v>2.2000000000000002</v>
      </c>
      <c r="K654" t="str" cm="1">
        <f t="array" ref="K65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655" spans="1:11" x14ac:dyDescent="0.35">
      <c r="A655" s="16" t="s">
        <v>45</v>
      </c>
      <c r="B655" t="s">
        <v>28</v>
      </c>
      <c r="C655" t="s">
        <v>58</v>
      </c>
      <c r="D655" t="s">
        <v>26</v>
      </c>
      <c r="E655" t="s">
        <v>22</v>
      </c>
      <c r="F655" t="s">
        <v>15</v>
      </c>
      <c r="G655">
        <v>6</v>
      </c>
      <c r="H655">
        <v>5</v>
      </c>
      <c r="I655">
        <v>0</v>
      </c>
      <c r="J655">
        <v>3</v>
      </c>
      <c r="K655" t="str" cm="1">
        <f t="array" ref="K65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656" spans="1:11" x14ac:dyDescent="0.35">
      <c r="A656" s="16" t="s">
        <v>36</v>
      </c>
      <c r="B656" t="s">
        <v>16</v>
      </c>
      <c r="C656" t="s">
        <v>17</v>
      </c>
      <c r="D656" t="s">
        <v>26</v>
      </c>
      <c r="E656" t="s">
        <v>27</v>
      </c>
      <c r="F656" t="s">
        <v>15</v>
      </c>
      <c r="G656">
        <v>3</v>
      </c>
      <c r="H656">
        <v>3</v>
      </c>
      <c r="I656">
        <v>0</v>
      </c>
      <c r="J656">
        <v>3.5</v>
      </c>
      <c r="K656" t="str" cm="1">
        <f t="array" ref="K65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57" spans="1:11" x14ac:dyDescent="0.35">
      <c r="A657" s="16" t="s">
        <v>59</v>
      </c>
      <c r="B657" t="s">
        <v>16</v>
      </c>
      <c r="C657" t="s">
        <v>17</v>
      </c>
      <c r="D657" t="s">
        <v>32</v>
      </c>
      <c r="E657" t="s">
        <v>53</v>
      </c>
      <c r="F657" t="s">
        <v>15</v>
      </c>
      <c r="G657">
        <v>6</v>
      </c>
      <c r="H657">
        <v>6</v>
      </c>
      <c r="I657">
        <v>0</v>
      </c>
      <c r="J657">
        <v>3.5</v>
      </c>
      <c r="K657" t="str" cm="1">
        <f t="array" ref="K65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58" spans="1:11" x14ac:dyDescent="0.35">
      <c r="A658" s="16" t="s">
        <v>33</v>
      </c>
      <c r="B658" t="s">
        <v>37</v>
      </c>
      <c r="C658" t="s">
        <v>38</v>
      </c>
      <c r="D658" t="s">
        <v>26</v>
      </c>
      <c r="E658" t="s">
        <v>30</v>
      </c>
      <c r="F658" t="s">
        <v>19</v>
      </c>
      <c r="G658">
        <v>3</v>
      </c>
      <c r="H658">
        <v>3</v>
      </c>
      <c r="I658">
        <v>1</v>
      </c>
      <c r="J658">
        <v>3.4</v>
      </c>
      <c r="K658" t="str" cm="1">
        <f t="array" ref="K65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659" spans="1:11" x14ac:dyDescent="0.35">
      <c r="A659" s="16" t="s">
        <v>59</v>
      </c>
      <c r="B659" t="s">
        <v>48</v>
      </c>
      <c r="C659" t="s">
        <v>49</v>
      </c>
      <c r="D659" t="s">
        <v>26</v>
      </c>
      <c r="E659" t="s">
        <v>18</v>
      </c>
      <c r="F659" t="s">
        <v>19</v>
      </c>
      <c r="G659">
        <v>4</v>
      </c>
      <c r="H659">
        <v>4</v>
      </c>
      <c r="I659">
        <v>0</v>
      </c>
      <c r="J659">
        <v>2.2999999999999998</v>
      </c>
      <c r="K659" t="str" cm="1">
        <f t="array" ref="K65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60" spans="1:11" x14ac:dyDescent="0.35">
      <c r="A660" s="16" t="s">
        <v>55</v>
      </c>
      <c r="B660" t="s">
        <v>28</v>
      </c>
      <c r="C660" t="s">
        <v>58</v>
      </c>
      <c r="D660" t="s">
        <v>21</v>
      </c>
      <c r="E660" t="s">
        <v>30</v>
      </c>
      <c r="F660" t="s">
        <v>19</v>
      </c>
      <c r="G660">
        <v>5</v>
      </c>
      <c r="H660">
        <v>5</v>
      </c>
      <c r="I660">
        <v>0</v>
      </c>
      <c r="J660">
        <v>4</v>
      </c>
      <c r="K660" t="str" cm="1">
        <f t="array" ref="K66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661" spans="1:11" x14ac:dyDescent="0.35">
      <c r="A661" s="16" t="s">
        <v>50</v>
      </c>
      <c r="B661" t="s">
        <v>46</v>
      </c>
      <c r="C661" t="s">
        <v>54</v>
      </c>
      <c r="D661" t="s">
        <v>22</v>
      </c>
      <c r="E661" t="s">
        <v>27</v>
      </c>
      <c r="F661" t="s">
        <v>19</v>
      </c>
      <c r="G661">
        <v>7</v>
      </c>
      <c r="H661">
        <v>6</v>
      </c>
      <c r="I661">
        <v>0</v>
      </c>
      <c r="J661">
        <v>3.8</v>
      </c>
      <c r="K661" t="str" cm="1">
        <f t="array" ref="K66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62" spans="1:11" x14ac:dyDescent="0.35">
      <c r="A662" s="16" t="s">
        <v>50</v>
      </c>
      <c r="B662" t="s">
        <v>11</v>
      </c>
      <c r="C662" t="s">
        <v>52</v>
      </c>
      <c r="D662" t="s">
        <v>40</v>
      </c>
      <c r="E662" t="s">
        <v>30</v>
      </c>
      <c r="F662" t="s">
        <v>15</v>
      </c>
      <c r="G662">
        <v>7</v>
      </c>
      <c r="H662">
        <v>7</v>
      </c>
      <c r="I662">
        <v>1</v>
      </c>
      <c r="J662">
        <v>0.9</v>
      </c>
      <c r="K662" t="str" cm="1">
        <f t="array" ref="K66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63" spans="1:11" x14ac:dyDescent="0.35">
      <c r="A663" s="16" t="s">
        <v>50</v>
      </c>
      <c r="B663" t="s">
        <v>56</v>
      </c>
      <c r="C663" t="s">
        <v>57</v>
      </c>
      <c r="D663" t="s">
        <v>22</v>
      </c>
      <c r="E663" t="s">
        <v>30</v>
      </c>
      <c r="F663" t="s">
        <v>19</v>
      </c>
      <c r="G663">
        <v>4</v>
      </c>
      <c r="H663">
        <v>4</v>
      </c>
      <c r="I663">
        <v>0</v>
      </c>
      <c r="J663">
        <v>2.8</v>
      </c>
      <c r="K663" t="str" cm="1">
        <f t="array" ref="K66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64" spans="1:11" x14ac:dyDescent="0.35">
      <c r="A664" s="16" t="s">
        <v>20</v>
      </c>
      <c r="B664" t="s">
        <v>24</v>
      </c>
      <c r="C664" t="s">
        <v>64</v>
      </c>
      <c r="D664" t="s">
        <v>32</v>
      </c>
      <c r="E664" t="s">
        <v>14</v>
      </c>
      <c r="F664" t="s">
        <v>15</v>
      </c>
      <c r="G664">
        <v>2</v>
      </c>
      <c r="H664">
        <v>2</v>
      </c>
      <c r="I664">
        <v>0</v>
      </c>
      <c r="J664">
        <v>3.5</v>
      </c>
      <c r="K664" t="str" cm="1">
        <f t="array" ref="K66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665" spans="1:11" x14ac:dyDescent="0.35">
      <c r="A665" s="16" t="s">
        <v>43</v>
      </c>
      <c r="B665" t="s">
        <v>34</v>
      </c>
      <c r="C665" t="s">
        <v>35</v>
      </c>
      <c r="D665" t="s">
        <v>22</v>
      </c>
      <c r="E665" t="s">
        <v>14</v>
      </c>
      <c r="F665" t="s">
        <v>19</v>
      </c>
      <c r="G665">
        <v>5</v>
      </c>
      <c r="H665">
        <v>4</v>
      </c>
      <c r="I665">
        <v>0</v>
      </c>
      <c r="J665">
        <v>2.9</v>
      </c>
      <c r="K665" t="str" cm="1">
        <f t="array" ref="K66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666" spans="1:11" x14ac:dyDescent="0.35">
      <c r="A666" s="16" t="s">
        <v>50</v>
      </c>
      <c r="B666" t="s">
        <v>41</v>
      </c>
      <c r="C666" t="s">
        <v>44</v>
      </c>
      <c r="D666" t="s">
        <v>40</v>
      </c>
      <c r="E666" t="s">
        <v>27</v>
      </c>
      <c r="F666" t="s">
        <v>15</v>
      </c>
      <c r="G666">
        <v>6</v>
      </c>
      <c r="H666">
        <v>5</v>
      </c>
      <c r="I666">
        <v>0</v>
      </c>
      <c r="J666">
        <v>2.7</v>
      </c>
      <c r="K666" t="str" cm="1">
        <f t="array" ref="K66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67" spans="1:11" x14ac:dyDescent="0.35">
      <c r="A667" s="16" t="s">
        <v>50</v>
      </c>
      <c r="B667" t="s">
        <v>24</v>
      </c>
      <c r="C667" t="s">
        <v>25</v>
      </c>
      <c r="D667" t="s">
        <v>40</v>
      </c>
      <c r="E667" t="s">
        <v>30</v>
      </c>
      <c r="F667" t="s">
        <v>15</v>
      </c>
      <c r="G667">
        <v>4</v>
      </c>
      <c r="H667">
        <v>4</v>
      </c>
      <c r="I667">
        <v>0</v>
      </c>
      <c r="J667">
        <v>3.9</v>
      </c>
      <c r="K667" t="str" cm="1">
        <f t="array" ref="K66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68" spans="1:11" x14ac:dyDescent="0.35">
      <c r="A668" s="16" t="s">
        <v>10</v>
      </c>
      <c r="B668" t="s">
        <v>24</v>
      </c>
      <c r="C668" t="s">
        <v>64</v>
      </c>
      <c r="D668" t="s">
        <v>22</v>
      </c>
      <c r="E668" t="s">
        <v>22</v>
      </c>
      <c r="F668" t="s">
        <v>15</v>
      </c>
      <c r="G668">
        <v>7</v>
      </c>
      <c r="H668">
        <v>6</v>
      </c>
      <c r="I668">
        <v>2</v>
      </c>
      <c r="J668">
        <v>3.9</v>
      </c>
      <c r="K668" t="str" cm="1">
        <f t="array" ref="K66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669" spans="1:11" x14ac:dyDescent="0.35">
      <c r="A669" s="16" t="s">
        <v>59</v>
      </c>
      <c r="B669" t="s">
        <v>24</v>
      </c>
      <c r="C669" t="s">
        <v>64</v>
      </c>
      <c r="D669" t="s">
        <v>32</v>
      </c>
      <c r="E669" t="s">
        <v>18</v>
      </c>
      <c r="F669" t="s">
        <v>15</v>
      </c>
      <c r="G669">
        <v>1</v>
      </c>
      <c r="H669">
        <v>1</v>
      </c>
      <c r="I669">
        <v>1</v>
      </c>
      <c r="J669">
        <v>1.8</v>
      </c>
      <c r="K669" t="str" cm="1">
        <f t="array" ref="K66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70" spans="1:11" x14ac:dyDescent="0.35">
      <c r="A670" s="16" t="s">
        <v>45</v>
      </c>
      <c r="B670" t="s">
        <v>41</v>
      </c>
      <c r="C670" t="s">
        <v>44</v>
      </c>
      <c r="D670" t="s">
        <v>32</v>
      </c>
      <c r="E670" t="s">
        <v>14</v>
      </c>
      <c r="F670" t="s">
        <v>19</v>
      </c>
      <c r="G670">
        <v>5</v>
      </c>
      <c r="H670">
        <v>5</v>
      </c>
      <c r="I670">
        <v>0</v>
      </c>
      <c r="J670">
        <v>2.2000000000000002</v>
      </c>
      <c r="K670" t="str" cm="1">
        <f t="array" ref="K67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671" spans="1:11" x14ac:dyDescent="0.35">
      <c r="A671" s="16" t="s">
        <v>10</v>
      </c>
      <c r="B671" t="s">
        <v>46</v>
      </c>
      <c r="C671" t="s">
        <v>54</v>
      </c>
      <c r="D671" t="s">
        <v>21</v>
      </c>
      <c r="E671" t="s">
        <v>14</v>
      </c>
      <c r="F671" t="s">
        <v>19</v>
      </c>
      <c r="G671">
        <v>1</v>
      </c>
      <c r="H671">
        <v>1</v>
      </c>
      <c r="I671">
        <v>0</v>
      </c>
      <c r="J671">
        <v>3.1</v>
      </c>
      <c r="K671" t="str" cm="1">
        <f t="array" ref="K67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672" spans="1:11" x14ac:dyDescent="0.35">
      <c r="A672" s="16" t="s">
        <v>33</v>
      </c>
      <c r="B672" t="s">
        <v>37</v>
      </c>
      <c r="C672" t="s">
        <v>38</v>
      </c>
      <c r="D672" t="s">
        <v>13</v>
      </c>
      <c r="E672" t="s">
        <v>22</v>
      </c>
      <c r="F672" t="s">
        <v>15</v>
      </c>
      <c r="G672">
        <v>6</v>
      </c>
      <c r="H672">
        <v>6</v>
      </c>
      <c r="I672">
        <v>0</v>
      </c>
      <c r="J672">
        <v>5.3</v>
      </c>
      <c r="K672" t="str" cm="1">
        <f t="array" ref="K67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673" spans="1:11" x14ac:dyDescent="0.35">
      <c r="A673" s="16" t="s">
        <v>36</v>
      </c>
      <c r="B673" t="s">
        <v>24</v>
      </c>
      <c r="C673" t="s">
        <v>64</v>
      </c>
      <c r="D673" t="s">
        <v>26</v>
      </c>
      <c r="E673" t="s">
        <v>18</v>
      </c>
      <c r="F673" t="s">
        <v>15</v>
      </c>
      <c r="G673">
        <v>4</v>
      </c>
      <c r="H673">
        <v>4</v>
      </c>
      <c r="I673">
        <v>0</v>
      </c>
      <c r="J673">
        <v>2.8</v>
      </c>
      <c r="K673" t="str" cm="1">
        <f t="array" ref="K67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74" spans="1:11" x14ac:dyDescent="0.35">
      <c r="A674" s="16" t="s">
        <v>55</v>
      </c>
      <c r="B674" t="s">
        <v>46</v>
      </c>
      <c r="C674" t="s">
        <v>54</v>
      </c>
      <c r="D674" t="s">
        <v>40</v>
      </c>
      <c r="E674" t="s">
        <v>30</v>
      </c>
      <c r="F674" t="s">
        <v>19</v>
      </c>
      <c r="G674">
        <v>5</v>
      </c>
      <c r="H674">
        <v>5</v>
      </c>
      <c r="I674">
        <v>0</v>
      </c>
      <c r="J674">
        <v>2.9</v>
      </c>
      <c r="K674" t="str" cm="1">
        <f t="array" ref="K67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675" spans="1:11" x14ac:dyDescent="0.35">
      <c r="A675" s="16" t="s">
        <v>59</v>
      </c>
      <c r="B675" t="s">
        <v>48</v>
      </c>
      <c r="C675" t="s">
        <v>49</v>
      </c>
      <c r="D675" t="s">
        <v>40</v>
      </c>
      <c r="E675" t="s">
        <v>27</v>
      </c>
      <c r="F675" t="s">
        <v>15</v>
      </c>
      <c r="G675">
        <v>3</v>
      </c>
      <c r="H675">
        <v>3</v>
      </c>
      <c r="I675">
        <v>0</v>
      </c>
      <c r="J675">
        <v>1.3</v>
      </c>
      <c r="K675" t="str" cm="1">
        <f t="array" ref="K67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76" spans="1:11" x14ac:dyDescent="0.35">
      <c r="A676" s="16" t="s">
        <v>20</v>
      </c>
      <c r="B676" t="s">
        <v>24</v>
      </c>
      <c r="C676" t="s">
        <v>64</v>
      </c>
      <c r="D676" t="s">
        <v>21</v>
      </c>
      <c r="E676" t="s">
        <v>27</v>
      </c>
      <c r="F676" t="s">
        <v>15</v>
      </c>
      <c r="G676">
        <v>5</v>
      </c>
      <c r="H676">
        <v>5</v>
      </c>
      <c r="I676">
        <v>0</v>
      </c>
      <c r="J676">
        <v>1.7</v>
      </c>
      <c r="K676" t="str" cm="1">
        <f t="array" ref="K67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677" spans="1:11" x14ac:dyDescent="0.35">
      <c r="A677" s="16" t="s">
        <v>59</v>
      </c>
      <c r="B677" t="s">
        <v>11</v>
      </c>
      <c r="C677" t="s">
        <v>12</v>
      </c>
      <c r="D677" t="s">
        <v>26</v>
      </c>
      <c r="E677" t="s">
        <v>30</v>
      </c>
      <c r="F677" t="s">
        <v>15</v>
      </c>
      <c r="G677">
        <v>2</v>
      </c>
      <c r="H677">
        <v>2</v>
      </c>
      <c r="I677">
        <v>0</v>
      </c>
      <c r="J677">
        <v>3.4</v>
      </c>
      <c r="K677" t="str" cm="1">
        <f t="array" ref="K67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78" spans="1:11" x14ac:dyDescent="0.35">
      <c r="A678" s="16" t="s">
        <v>59</v>
      </c>
      <c r="B678" t="s">
        <v>41</v>
      </c>
      <c r="C678" t="s">
        <v>42</v>
      </c>
      <c r="D678" t="s">
        <v>40</v>
      </c>
      <c r="E678" t="s">
        <v>30</v>
      </c>
      <c r="F678" t="s">
        <v>19</v>
      </c>
      <c r="G678">
        <v>2</v>
      </c>
      <c r="H678">
        <v>2</v>
      </c>
      <c r="I678">
        <v>0</v>
      </c>
      <c r="J678">
        <v>2.1</v>
      </c>
      <c r="K678" t="str" cm="1">
        <f t="array" ref="K67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79" spans="1:11" x14ac:dyDescent="0.35">
      <c r="A679" s="16" t="s">
        <v>36</v>
      </c>
      <c r="B679" t="s">
        <v>56</v>
      </c>
      <c r="C679" t="s">
        <v>57</v>
      </c>
      <c r="D679" t="s">
        <v>40</v>
      </c>
      <c r="E679" t="s">
        <v>27</v>
      </c>
      <c r="F679" t="s">
        <v>19</v>
      </c>
      <c r="G679">
        <v>3</v>
      </c>
      <c r="H679">
        <v>3</v>
      </c>
      <c r="I679">
        <v>0</v>
      </c>
      <c r="J679">
        <v>3.5</v>
      </c>
      <c r="K679" t="str" cm="1">
        <f t="array" ref="K67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80" spans="1:11" x14ac:dyDescent="0.35">
      <c r="A680" s="16" t="s">
        <v>23</v>
      </c>
      <c r="B680" t="s">
        <v>37</v>
      </c>
      <c r="C680" t="s">
        <v>39</v>
      </c>
      <c r="D680" t="s">
        <v>13</v>
      </c>
      <c r="E680" t="s">
        <v>22</v>
      </c>
      <c r="F680" t="s">
        <v>15</v>
      </c>
      <c r="G680">
        <v>5</v>
      </c>
      <c r="H680">
        <v>5</v>
      </c>
      <c r="I680">
        <v>0</v>
      </c>
      <c r="J680">
        <v>1.9</v>
      </c>
      <c r="K680" t="str" cm="1">
        <f t="array" ref="K68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681" spans="1:11" x14ac:dyDescent="0.35">
      <c r="A681" s="16" t="s">
        <v>10</v>
      </c>
      <c r="B681" t="s">
        <v>56</v>
      </c>
      <c r="C681" t="s">
        <v>62</v>
      </c>
      <c r="D681" t="s">
        <v>22</v>
      </c>
      <c r="E681" t="s">
        <v>53</v>
      </c>
      <c r="F681" t="s">
        <v>15</v>
      </c>
      <c r="G681">
        <v>5</v>
      </c>
      <c r="H681">
        <v>5</v>
      </c>
      <c r="I681">
        <v>0</v>
      </c>
      <c r="J681">
        <v>3</v>
      </c>
      <c r="K681" t="str" cm="1">
        <f t="array" ref="K68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682" spans="1:11" x14ac:dyDescent="0.35">
      <c r="A682" s="16" t="s">
        <v>45</v>
      </c>
      <c r="B682" t="s">
        <v>48</v>
      </c>
      <c r="C682" t="s">
        <v>49</v>
      </c>
      <c r="D682" t="s">
        <v>22</v>
      </c>
      <c r="E682" t="s">
        <v>27</v>
      </c>
      <c r="F682" t="s">
        <v>19</v>
      </c>
      <c r="G682">
        <v>4</v>
      </c>
      <c r="H682">
        <v>4</v>
      </c>
      <c r="I682">
        <v>0</v>
      </c>
      <c r="J682">
        <v>4.3</v>
      </c>
      <c r="K682" t="str" cm="1">
        <f t="array" ref="K68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683" spans="1:11" x14ac:dyDescent="0.35">
      <c r="A683" s="16" t="s">
        <v>61</v>
      </c>
      <c r="B683" t="s">
        <v>16</v>
      </c>
      <c r="C683" t="s">
        <v>17</v>
      </c>
      <c r="D683" t="s">
        <v>13</v>
      </c>
      <c r="E683" t="s">
        <v>18</v>
      </c>
      <c r="F683" t="s">
        <v>15</v>
      </c>
      <c r="G683">
        <v>10</v>
      </c>
      <c r="H683">
        <v>9</v>
      </c>
      <c r="I683">
        <v>1</v>
      </c>
      <c r="J683">
        <v>1.1000000000000001</v>
      </c>
      <c r="K683" t="str" cm="1">
        <f t="array" ref="K68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684" spans="1:11" x14ac:dyDescent="0.35">
      <c r="A684" s="16" t="s">
        <v>10</v>
      </c>
      <c r="B684" t="s">
        <v>46</v>
      </c>
      <c r="C684" t="s">
        <v>54</v>
      </c>
      <c r="D684" t="s">
        <v>22</v>
      </c>
      <c r="E684" t="s">
        <v>14</v>
      </c>
      <c r="F684" t="s">
        <v>19</v>
      </c>
      <c r="G684">
        <v>5</v>
      </c>
      <c r="H684">
        <v>5</v>
      </c>
      <c r="I684">
        <v>0</v>
      </c>
      <c r="J684">
        <v>4.0999999999999996</v>
      </c>
      <c r="K684" t="str" cm="1">
        <f t="array" ref="K68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685" spans="1:11" x14ac:dyDescent="0.35">
      <c r="A685" s="16" t="s">
        <v>59</v>
      </c>
      <c r="B685" t="s">
        <v>34</v>
      </c>
      <c r="C685" t="s">
        <v>51</v>
      </c>
      <c r="D685" t="s">
        <v>22</v>
      </c>
      <c r="E685" t="s">
        <v>22</v>
      </c>
      <c r="F685" t="s">
        <v>15</v>
      </c>
      <c r="G685">
        <v>6</v>
      </c>
      <c r="H685">
        <v>4</v>
      </c>
      <c r="I685">
        <v>1</v>
      </c>
      <c r="J685">
        <v>0.8</v>
      </c>
      <c r="K685" t="str" cm="1">
        <f t="array" ref="K68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686" spans="1:11" x14ac:dyDescent="0.35">
      <c r="A686" s="16" t="s">
        <v>10</v>
      </c>
      <c r="B686" t="s">
        <v>24</v>
      </c>
      <c r="C686" t="s">
        <v>25</v>
      </c>
      <c r="D686" t="s">
        <v>32</v>
      </c>
      <c r="E686" t="s">
        <v>53</v>
      </c>
      <c r="F686" t="s">
        <v>19</v>
      </c>
      <c r="G686">
        <v>5</v>
      </c>
      <c r="H686">
        <v>3</v>
      </c>
      <c r="I686">
        <v>0</v>
      </c>
      <c r="J686">
        <v>5.2</v>
      </c>
      <c r="K686" t="str" cm="1">
        <f t="array" ref="K68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687" spans="1:11" x14ac:dyDescent="0.35">
      <c r="A687" s="16" t="s">
        <v>50</v>
      </c>
      <c r="B687" t="s">
        <v>11</v>
      </c>
      <c r="C687" t="s">
        <v>12</v>
      </c>
      <c r="D687" t="s">
        <v>21</v>
      </c>
      <c r="E687" t="s">
        <v>22</v>
      </c>
      <c r="F687" t="s">
        <v>15</v>
      </c>
      <c r="G687">
        <v>6</v>
      </c>
      <c r="H687">
        <v>5</v>
      </c>
      <c r="I687">
        <v>0</v>
      </c>
      <c r="J687">
        <v>4.2</v>
      </c>
      <c r="K687" t="str" cm="1">
        <f t="array" ref="K68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688" spans="1:11" x14ac:dyDescent="0.35">
      <c r="A688" s="16" t="s">
        <v>36</v>
      </c>
      <c r="B688" t="s">
        <v>37</v>
      </c>
      <c r="C688" t="s">
        <v>39</v>
      </c>
      <c r="D688" t="s">
        <v>13</v>
      </c>
      <c r="E688" t="s">
        <v>30</v>
      </c>
      <c r="F688" t="s">
        <v>15</v>
      </c>
      <c r="G688">
        <v>6</v>
      </c>
      <c r="H688">
        <v>6</v>
      </c>
      <c r="I688">
        <v>1</v>
      </c>
      <c r="J688">
        <v>3.8</v>
      </c>
      <c r="K688" t="str" cm="1">
        <f t="array" ref="K68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89" spans="1:11" x14ac:dyDescent="0.35">
      <c r="A689" s="16" t="s">
        <v>20</v>
      </c>
      <c r="B689" t="s">
        <v>48</v>
      </c>
      <c r="C689" t="s">
        <v>63</v>
      </c>
      <c r="D689" t="s">
        <v>40</v>
      </c>
      <c r="E689" t="s">
        <v>14</v>
      </c>
      <c r="F689" t="s">
        <v>19</v>
      </c>
      <c r="G689">
        <v>4</v>
      </c>
      <c r="H689">
        <v>3</v>
      </c>
      <c r="I689">
        <v>0</v>
      </c>
      <c r="J689">
        <v>2.6</v>
      </c>
      <c r="K689" t="str" cm="1">
        <f t="array" ref="K68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690" spans="1:11" x14ac:dyDescent="0.35">
      <c r="A690" s="16" t="s">
        <v>23</v>
      </c>
      <c r="B690" t="s">
        <v>24</v>
      </c>
      <c r="C690" t="s">
        <v>64</v>
      </c>
      <c r="D690" t="s">
        <v>40</v>
      </c>
      <c r="E690" t="s">
        <v>30</v>
      </c>
      <c r="F690" t="s">
        <v>19</v>
      </c>
      <c r="G690">
        <v>6</v>
      </c>
      <c r="H690">
        <v>5</v>
      </c>
      <c r="I690">
        <v>0</v>
      </c>
      <c r="J690">
        <v>5</v>
      </c>
      <c r="K690" t="str" cm="1">
        <f t="array" ref="K69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691" spans="1:11" x14ac:dyDescent="0.35">
      <c r="A691" s="16" t="s">
        <v>45</v>
      </c>
      <c r="B691" t="s">
        <v>37</v>
      </c>
      <c r="C691" t="s">
        <v>38</v>
      </c>
      <c r="D691" t="s">
        <v>22</v>
      </c>
      <c r="E691" t="s">
        <v>30</v>
      </c>
      <c r="F691" t="s">
        <v>19</v>
      </c>
      <c r="G691">
        <v>6</v>
      </c>
      <c r="H691">
        <v>5</v>
      </c>
      <c r="I691">
        <v>0</v>
      </c>
      <c r="J691">
        <v>3.3</v>
      </c>
      <c r="K691" t="str" cm="1">
        <f t="array" ref="K69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692" spans="1:11" x14ac:dyDescent="0.35">
      <c r="A692" s="16" t="s">
        <v>33</v>
      </c>
      <c r="B692" t="s">
        <v>56</v>
      </c>
      <c r="C692" t="s">
        <v>62</v>
      </c>
      <c r="D692" t="s">
        <v>22</v>
      </c>
      <c r="E692" t="s">
        <v>30</v>
      </c>
      <c r="F692" t="s">
        <v>15</v>
      </c>
      <c r="G692">
        <v>3</v>
      </c>
      <c r="H692">
        <v>2</v>
      </c>
      <c r="I692">
        <v>0</v>
      </c>
      <c r="J692">
        <v>2.2999999999999998</v>
      </c>
      <c r="K692" t="str" cm="1">
        <f t="array" ref="K69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693" spans="1:11" x14ac:dyDescent="0.35">
      <c r="A693" s="16" t="s">
        <v>23</v>
      </c>
      <c r="B693" t="s">
        <v>11</v>
      </c>
      <c r="C693" t="s">
        <v>12</v>
      </c>
      <c r="D693" t="s">
        <v>21</v>
      </c>
      <c r="E693" t="s">
        <v>22</v>
      </c>
      <c r="F693" t="s">
        <v>15</v>
      </c>
      <c r="G693">
        <v>4</v>
      </c>
      <c r="H693">
        <v>3</v>
      </c>
      <c r="I693">
        <v>0</v>
      </c>
      <c r="J693">
        <v>3</v>
      </c>
      <c r="K693" t="str" cm="1">
        <f t="array" ref="K69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694" spans="1:11" x14ac:dyDescent="0.35">
      <c r="A694" s="16" t="s">
        <v>36</v>
      </c>
      <c r="B694" t="s">
        <v>37</v>
      </c>
      <c r="C694" t="s">
        <v>38</v>
      </c>
      <c r="D694" t="s">
        <v>21</v>
      </c>
      <c r="E694" t="s">
        <v>30</v>
      </c>
      <c r="F694" t="s">
        <v>19</v>
      </c>
      <c r="G694">
        <v>3</v>
      </c>
      <c r="H694">
        <v>3</v>
      </c>
      <c r="I694">
        <v>0</v>
      </c>
      <c r="J694">
        <v>2.7</v>
      </c>
      <c r="K694" t="str" cm="1">
        <f t="array" ref="K69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95" spans="1:11" x14ac:dyDescent="0.35">
      <c r="A695" s="16" t="s">
        <v>36</v>
      </c>
      <c r="B695" t="s">
        <v>46</v>
      </c>
      <c r="C695" t="s">
        <v>54</v>
      </c>
      <c r="D695" t="s">
        <v>26</v>
      </c>
      <c r="E695" t="s">
        <v>53</v>
      </c>
      <c r="F695" t="s">
        <v>15</v>
      </c>
      <c r="G695">
        <v>5</v>
      </c>
      <c r="H695">
        <v>5</v>
      </c>
      <c r="I695">
        <v>0</v>
      </c>
      <c r="J695">
        <v>4.2</v>
      </c>
      <c r="K695" t="str" cm="1">
        <f t="array" ref="K69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96" spans="1:11" x14ac:dyDescent="0.35">
      <c r="A696" s="16" t="s">
        <v>36</v>
      </c>
      <c r="B696" t="s">
        <v>34</v>
      </c>
      <c r="C696" t="s">
        <v>35</v>
      </c>
      <c r="D696" t="s">
        <v>13</v>
      </c>
      <c r="E696" t="s">
        <v>14</v>
      </c>
      <c r="F696" t="s">
        <v>15</v>
      </c>
      <c r="G696">
        <v>7</v>
      </c>
      <c r="H696">
        <v>7</v>
      </c>
      <c r="I696">
        <v>0</v>
      </c>
      <c r="J696">
        <v>0.5</v>
      </c>
      <c r="K696" t="str" cm="1">
        <f t="array" ref="K69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97" spans="1:11" x14ac:dyDescent="0.35">
      <c r="A697" s="16" t="s">
        <v>45</v>
      </c>
      <c r="B697" t="s">
        <v>48</v>
      </c>
      <c r="C697" t="s">
        <v>49</v>
      </c>
      <c r="D697" t="s">
        <v>22</v>
      </c>
      <c r="E697" t="s">
        <v>30</v>
      </c>
      <c r="F697" t="s">
        <v>19</v>
      </c>
      <c r="G697">
        <v>6</v>
      </c>
      <c r="H697">
        <v>4</v>
      </c>
      <c r="I697">
        <v>1</v>
      </c>
      <c r="J697">
        <v>1.3</v>
      </c>
      <c r="K697" t="str" cm="1">
        <f t="array" ref="K69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698" spans="1:11" x14ac:dyDescent="0.35">
      <c r="A698" s="16" t="s">
        <v>36</v>
      </c>
      <c r="B698" t="s">
        <v>34</v>
      </c>
      <c r="C698" t="s">
        <v>35</v>
      </c>
      <c r="D698" t="s">
        <v>32</v>
      </c>
      <c r="E698" t="s">
        <v>30</v>
      </c>
      <c r="F698" t="s">
        <v>19</v>
      </c>
      <c r="G698">
        <v>2</v>
      </c>
      <c r="H698">
        <v>1</v>
      </c>
      <c r="I698">
        <v>1</v>
      </c>
      <c r="J698">
        <v>3.2</v>
      </c>
      <c r="K698" t="str" cm="1">
        <f t="array" ref="K69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699" spans="1:11" x14ac:dyDescent="0.35">
      <c r="A699" s="16" t="s">
        <v>43</v>
      </c>
      <c r="B699" t="s">
        <v>48</v>
      </c>
      <c r="C699" t="s">
        <v>49</v>
      </c>
      <c r="D699" t="s">
        <v>13</v>
      </c>
      <c r="E699" t="s">
        <v>53</v>
      </c>
      <c r="F699" t="s">
        <v>19</v>
      </c>
      <c r="G699">
        <v>2</v>
      </c>
      <c r="H699">
        <v>2</v>
      </c>
      <c r="I699">
        <v>0</v>
      </c>
      <c r="J699">
        <v>3.9</v>
      </c>
      <c r="K699" t="str" cm="1">
        <f t="array" ref="K69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700" spans="1:11" x14ac:dyDescent="0.35">
      <c r="A700" s="16" t="s">
        <v>10</v>
      </c>
      <c r="B700" t="s">
        <v>34</v>
      </c>
      <c r="C700" t="s">
        <v>51</v>
      </c>
      <c r="D700" t="s">
        <v>40</v>
      </c>
      <c r="E700" t="s">
        <v>14</v>
      </c>
      <c r="F700" t="s">
        <v>15</v>
      </c>
      <c r="G700">
        <v>4</v>
      </c>
      <c r="H700">
        <v>4</v>
      </c>
      <c r="I700">
        <v>0</v>
      </c>
      <c r="J700">
        <v>3</v>
      </c>
      <c r="K700" t="str" cm="1">
        <f t="array" ref="K70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01" spans="1:11" x14ac:dyDescent="0.35">
      <c r="A701" s="16" t="s">
        <v>10</v>
      </c>
      <c r="B701" t="s">
        <v>56</v>
      </c>
      <c r="C701" t="s">
        <v>62</v>
      </c>
      <c r="D701" t="s">
        <v>13</v>
      </c>
      <c r="E701" t="s">
        <v>53</v>
      </c>
      <c r="F701" t="s">
        <v>15</v>
      </c>
      <c r="G701">
        <v>7</v>
      </c>
      <c r="H701">
        <v>5</v>
      </c>
      <c r="I701">
        <v>0</v>
      </c>
      <c r="J701">
        <v>1.2</v>
      </c>
      <c r="K701" t="str" cm="1">
        <f t="array" ref="K70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02" spans="1:11" x14ac:dyDescent="0.35">
      <c r="A702" s="16" t="s">
        <v>45</v>
      </c>
      <c r="B702" t="s">
        <v>37</v>
      </c>
      <c r="C702" t="s">
        <v>39</v>
      </c>
      <c r="D702" t="s">
        <v>13</v>
      </c>
      <c r="E702" t="s">
        <v>18</v>
      </c>
      <c r="F702" t="s">
        <v>19</v>
      </c>
      <c r="G702">
        <v>4</v>
      </c>
      <c r="H702">
        <v>3</v>
      </c>
      <c r="I702">
        <v>0</v>
      </c>
      <c r="J702">
        <v>2.7</v>
      </c>
      <c r="K702" t="str" cm="1">
        <f t="array" ref="K70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703" spans="1:11" x14ac:dyDescent="0.35">
      <c r="A703" s="16" t="s">
        <v>61</v>
      </c>
      <c r="B703" t="s">
        <v>48</v>
      </c>
      <c r="C703" t="s">
        <v>49</v>
      </c>
      <c r="D703" t="s">
        <v>32</v>
      </c>
      <c r="E703" t="s">
        <v>30</v>
      </c>
      <c r="F703" t="s">
        <v>19</v>
      </c>
      <c r="G703">
        <v>6</v>
      </c>
      <c r="H703">
        <v>6</v>
      </c>
      <c r="I703">
        <v>0</v>
      </c>
      <c r="J703">
        <v>1.7</v>
      </c>
      <c r="K703" t="str" cm="1">
        <f t="array" ref="K70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04" spans="1:11" x14ac:dyDescent="0.35">
      <c r="A704" s="16" t="s">
        <v>50</v>
      </c>
      <c r="B704" t="s">
        <v>46</v>
      </c>
      <c r="C704" t="s">
        <v>54</v>
      </c>
      <c r="D704" t="s">
        <v>13</v>
      </c>
      <c r="E704" t="s">
        <v>27</v>
      </c>
      <c r="F704" t="s">
        <v>15</v>
      </c>
      <c r="G704">
        <v>8</v>
      </c>
      <c r="H704">
        <v>7</v>
      </c>
      <c r="I704">
        <v>0</v>
      </c>
      <c r="J704">
        <v>2</v>
      </c>
      <c r="K704" t="str" cm="1">
        <f t="array" ref="K70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705" spans="1:11" x14ac:dyDescent="0.35">
      <c r="A705" s="16" t="s">
        <v>10</v>
      </c>
      <c r="B705" t="s">
        <v>48</v>
      </c>
      <c r="C705" t="s">
        <v>63</v>
      </c>
      <c r="D705" t="s">
        <v>13</v>
      </c>
      <c r="E705" t="s">
        <v>18</v>
      </c>
      <c r="F705" t="s">
        <v>15</v>
      </c>
      <c r="G705">
        <v>3</v>
      </c>
      <c r="H705">
        <v>3</v>
      </c>
      <c r="I705">
        <v>0</v>
      </c>
      <c r="J705">
        <v>3.1</v>
      </c>
      <c r="K705" t="str" cm="1">
        <f t="array" ref="K70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06" spans="1:11" x14ac:dyDescent="0.35">
      <c r="A706" s="16" t="s">
        <v>31</v>
      </c>
      <c r="B706" t="s">
        <v>37</v>
      </c>
      <c r="C706" t="s">
        <v>38</v>
      </c>
      <c r="D706" t="s">
        <v>40</v>
      </c>
      <c r="E706" t="s">
        <v>14</v>
      </c>
      <c r="F706" t="s">
        <v>19</v>
      </c>
      <c r="G706">
        <v>5</v>
      </c>
      <c r="H706">
        <v>4</v>
      </c>
      <c r="I706">
        <v>2</v>
      </c>
      <c r="J706">
        <v>1.2</v>
      </c>
      <c r="K706" t="str" cm="1">
        <f t="array" ref="K70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07" spans="1:11" x14ac:dyDescent="0.35">
      <c r="A707" s="16" t="s">
        <v>10</v>
      </c>
      <c r="B707" t="s">
        <v>28</v>
      </c>
      <c r="C707" t="s">
        <v>58</v>
      </c>
      <c r="D707" t="s">
        <v>26</v>
      </c>
      <c r="E707" t="s">
        <v>27</v>
      </c>
      <c r="F707" t="s">
        <v>15</v>
      </c>
      <c r="G707">
        <v>4</v>
      </c>
      <c r="H707">
        <v>4</v>
      </c>
      <c r="I707">
        <v>0</v>
      </c>
      <c r="J707">
        <v>2.2999999999999998</v>
      </c>
      <c r="K707" t="str" cm="1">
        <f t="array" ref="K70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08" spans="1:11" x14ac:dyDescent="0.35">
      <c r="A708" s="16" t="s">
        <v>50</v>
      </c>
      <c r="B708" t="s">
        <v>37</v>
      </c>
      <c r="C708" t="s">
        <v>39</v>
      </c>
      <c r="D708" t="s">
        <v>21</v>
      </c>
      <c r="E708" t="s">
        <v>18</v>
      </c>
      <c r="F708" t="s">
        <v>19</v>
      </c>
      <c r="G708">
        <v>5</v>
      </c>
      <c r="H708">
        <v>5</v>
      </c>
      <c r="I708">
        <v>1</v>
      </c>
      <c r="J708">
        <v>3.7</v>
      </c>
      <c r="K708" t="str" cm="1">
        <f t="array" ref="K70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709" spans="1:11" x14ac:dyDescent="0.35">
      <c r="A709" s="16" t="s">
        <v>59</v>
      </c>
      <c r="B709" t="s">
        <v>37</v>
      </c>
      <c r="C709" t="s">
        <v>38</v>
      </c>
      <c r="D709" t="s">
        <v>22</v>
      </c>
      <c r="E709" t="s">
        <v>27</v>
      </c>
      <c r="F709" t="s">
        <v>15</v>
      </c>
      <c r="G709">
        <v>8</v>
      </c>
      <c r="H709">
        <v>7</v>
      </c>
      <c r="I709">
        <v>0</v>
      </c>
      <c r="J709">
        <v>4.2</v>
      </c>
      <c r="K709" t="str" cm="1">
        <f t="array" ref="K70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710" spans="1:11" x14ac:dyDescent="0.35">
      <c r="A710" s="16" t="s">
        <v>61</v>
      </c>
      <c r="B710" t="s">
        <v>56</v>
      </c>
      <c r="C710" t="s">
        <v>57</v>
      </c>
      <c r="D710" t="s">
        <v>22</v>
      </c>
      <c r="E710" t="s">
        <v>53</v>
      </c>
      <c r="F710" t="s">
        <v>15</v>
      </c>
      <c r="G710">
        <v>1</v>
      </c>
      <c r="H710">
        <v>1</v>
      </c>
      <c r="I710">
        <v>0</v>
      </c>
      <c r="J710">
        <v>2.9</v>
      </c>
      <c r="K710" t="str" cm="1">
        <f t="array" ref="K71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11" spans="1:11" x14ac:dyDescent="0.35">
      <c r="A711" s="16" t="s">
        <v>45</v>
      </c>
      <c r="B711" t="s">
        <v>34</v>
      </c>
      <c r="C711" t="s">
        <v>35</v>
      </c>
      <c r="D711" t="s">
        <v>26</v>
      </c>
      <c r="E711" t="s">
        <v>53</v>
      </c>
      <c r="F711" t="s">
        <v>19</v>
      </c>
      <c r="G711">
        <v>5</v>
      </c>
      <c r="H711">
        <v>3</v>
      </c>
      <c r="I711">
        <v>0</v>
      </c>
      <c r="J711">
        <v>3.5</v>
      </c>
      <c r="K711" t="str" cm="1">
        <f t="array" ref="K71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712" spans="1:11" x14ac:dyDescent="0.35">
      <c r="A712" s="16" t="s">
        <v>61</v>
      </c>
      <c r="B712" t="s">
        <v>11</v>
      </c>
      <c r="C712" t="s">
        <v>52</v>
      </c>
      <c r="D712" t="s">
        <v>21</v>
      </c>
      <c r="E712" t="s">
        <v>14</v>
      </c>
      <c r="F712" t="s">
        <v>15</v>
      </c>
      <c r="G712">
        <v>2</v>
      </c>
      <c r="H712">
        <v>2</v>
      </c>
      <c r="I712">
        <v>0</v>
      </c>
      <c r="J712">
        <v>2.9</v>
      </c>
      <c r="K712" t="str" cm="1">
        <f t="array" ref="K71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13" spans="1:11" x14ac:dyDescent="0.35">
      <c r="A713" s="16" t="s">
        <v>31</v>
      </c>
      <c r="B713" t="s">
        <v>16</v>
      </c>
      <c r="C713" t="s">
        <v>60</v>
      </c>
      <c r="D713" t="s">
        <v>21</v>
      </c>
      <c r="E713" t="s">
        <v>14</v>
      </c>
      <c r="F713" t="s">
        <v>19</v>
      </c>
      <c r="G713">
        <v>1</v>
      </c>
      <c r="H713">
        <v>1</v>
      </c>
      <c r="I713">
        <v>0</v>
      </c>
      <c r="J713">
        <v>2.2000000000000002</v>
      </c>
      <c r="K713" t="str" cm="1">
        <f t="array" ref="K71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14" spans="1:11" x14ac:dyDescent="0.35">
      <c r="A714" s="16" t="s">
        <v>61</v>
      </c>
      <c r="B714" t="s">
        <v>11</v>
      </c>
      <c r="C714" t="s">
        <v>52</v>
      </c>
      <c r="D714" t="s">
        <v>32</v>
      </c>
      <c r="E714" t="s">
        <v>53</v>
      </c>
      <c r="F714" t="s">
        <v>15</v>
      </c>
      <c r="G714">
        <v>8</v>
      </c>
      <c r="H714">
        <v>6</v>
      </c>
      <c r="I714">
        <v>1</v>
      </c>
      <c r="J714">
        <v>2.2999999999999998</v>
      </c>
      <c r="K714" t="str" cm="1">
        <f t="array" ref="K71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15" spans="1:11" x14ac:dyDescent="0.35">
      <c r="A715" s="16" t="s">
        <v>10</v>
      </c>
      <c r="B715" t="s">
        <v>16</v>
      </c>
      <c r="C715" t="s">
        <v>60</v>
      </c>
      <c r="D715" t="s">
        <v>13</v>
      </c>
      <c r="E715" t="s">
        <v>27</v>
      </c>
      <c r="F715" t="s">
        <v>19</v>
      </c>
      <c r="G715">
        <v>4</v>
      </c>
      <c r="H715">
        <v>3</v>
      </c>
      <c r="I715">
        <v>0</v>
      </c>
      <c r="J715">
        <v>2.2999999999999998</v>
      </c>
      <c r="K715" t="str" cm="1">
        <f t="array" ref="K71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16" spans="1:11" x14ac:dyDescent="0.35">
      <c r="A716" s="16" t="s">
        <v>50</v>
      </c>
      <c r="B716" t="s">
        <v>28</v>
      </c>
      <c r="C716" t="s">
        <v>29</v>
      </c>
      <c r="D716" t="s">
        <v>32</v>
      </c>
      <c r="E716" t="s">
        <v>30</v>
      </c>
      <c r="F716" t="s">
        <v>15</v>
      </c>
      <c r="G716">
        <v>4</v>
      </c>
      <c r="H716">
        <v>4</v>
      </c>
      <c r="I716">
        <v>0</v>
      </c>
      <c r="J716">
        <v>3.7</v>
      </c>
      <c r="K716" t="str" cm="1">
        <f t="array" ref="K71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717" spans="1:11" x14ac:dyDescent="0.35">
      <c r="A717" s="16" t="s">
        <v>31</v>
      </c>
      <c r="B717" t="s">
        <v>56</v>
      </c>
      <c r="C717" t="s">
        <v>62</v>
      </c>
      <c r="D717" t="s">
        <v>21</v>
      </c>
      <c r="E717" t="s">
        <v>22</v>
      </c>
      <c r="F717" t="s">
        <v>15</v>
      </c>
      <c r="G717">
        <v>6</v>
      </c>
      <c r="H717">
        <v>6</v>
      </c>
      <c r="I717">
        <v>0</v>
      </c>
      <c r="J717">
        <v>3.3</v>
      </c>
      <c r="K717" t="str" cm="1">
        <f t="array" ref="K71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18" spans="1:11" x14ac:dyDescent="0.35">
      <c r="A718" s="16" t="s">
        <v>23</v>
      </c>
      <c r="B718" t="s">
        <v>24</v>
      </c>
      <c r="C718" t="s">
        <v>64</v>
      </c>
      <c r="D718" t="s">
        <v>13</v>
      </c>
      <c r="E718" t="s">
        <v>22</v>
      </c>
      <c r="F718" t="s">
        <v>15</v>
      </c>
      <c r="G718">
        <v>4</v>
      </c>
      <c r="H718">
        <v>4</v>
      </c>
      <c r="I718">
        <v>0</v>
      </c>
      <c r="J718">
        <v>3.8</v>
      </c>
      <c r="K718" t="str" cm="1">
        <f t="array" ref="K71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19" spans="1:11" x14ac:dyDescent="0.35">
      <c r="A719" s="16" t="s">
        <v>59</v>
      </c>
      <c r="B719" t="s">
        <v>34</v>
      </c>
      <c r="C719" t="s">
        <v>51</v>
      </c>
      <c r="D719" t="s">
        <v>21</v>
      </c>
      <c r="E719" t="s">
        <v>27</v>
      </c>
      <c r="F719" t="s">
        <v>15</v>
      </c>
      <c r="G719">
        <v>4</v>
      </c>
      <c r="H719">
        <v>4</v>
      </c>
      <c r="I719">
        <v>0</v>
      </c>
      <c r="J719">
        <v>4</v>
      </c>
      <c r="K719" t="str" cm="1">
        <f t="array" ref="K71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720" spans="1:11" x14ac:dyDescent="0.35">
      <c r="A720" s="16" t="s">
        <v>45</v>
      </c>
      <c r="B720" t="s">
        <v>56</v>
      </c>
      <c r="C720" t="s">
        <v>57</v>
      </c>
      <c r="D720" t="s">
        <v>26</v>
      </c>
      <c r="E720" t="s">
        <v>22</v>
      </c>
      <c r="F720" t="s">
        <v>15</v>
      </c>
      <c r="G720">
        <v>5</v>
      </c>
      <c r="H720">
        <v>5</v>
      </c>
      <c r="I720">
        <v>0</v>
      </c>
      <c r="J720">
        <v>3.5</v>
      </c>
      <c r="K720" t="str" cm="1">
        <f t="array" ref="K72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721" spans="1:11" x14ac:dyDescent="0.35">
      <c r="A721" s="16" t="s">
        <v>23</v>
      </c>
      <c r="B721" t="s">
        <v>28</v>
      </c>
      <c r="C721" t="s">
        <v>29</v>
      </c>
      <c r="D721" t="s">
        <v>21</v>
      </c>
      <c r="E721" t="s">
        <v>22</v>
      </c>
      <c r="F721" t="s">
        <v>19</v>
      </c>
      <c r="G721">
        <v>6</v>
      </c>
      <c r="H721">
        <v>5</v>
      </c>
      <c r="I721">
        <v>0</v>
      </c>
      <c r="J721">
        <v>3.2</v>
      </c>
      <c r="K721" t="str" cm="1">
        <f t="array" ref="K72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22" spans="1:11" x14ac:dyDescent="0.35">
      <c r="A722" s="16" t="s">
        <v>23</v>
      </c>
      <c r="B722" t="s">
        <v>24</v>
      </c>
      <c r="C722" t="s">
        <v>64</v>
      </c>
      <c r="D722" t="s">
        <v>22</v>
      </c>
      <c r="E722" t="s">
        <v>18</v>
      </c>
      <c r="F722" t="s">
        <v>19</v>
      </c>
      <c r="G722">
        <v>2</v>
      </c>
      <c r="H722">
        <v>2</v>
      </c>
      <c r="I722">
        <v>0</v>
      </c>
      <c r="J722">
        <v>2.1</v>
      </c>
      <c r="K722" t="str" cm="1">
        <f t="array" ref="K72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23" spans="1:11" x14ac:dyDescent="0.35">
      <c r="A723" s="16" t="s">
        <v>23</v>
      </c>
      <c r="B723" t="s">
        <v>41</v>
      </c>
      <c r="C723" t="s">
        <v>42</v>
      </c>
      <c r="D723" t="s">
        <v>40</v>
      </c>
      <c r="E723" t="s">
        <v>53</v>
      </c>
      <c r="F723" t="s">
        <v>15</v>
      </c>
      <c r="G723">
        <v>4</v>
      </c>
      <c r="H723">
        <v>3</v>
      </c>
      <c r="I723">
        <v>0</v>
      </c>
      <c r="J723">
        <v>1.5</v>
      </c>
      <c r="K723" t="str" cm="1">
        <f t="array" ref="K72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24" spans="1:11" x14ac:dyDescent="0.35">
      <c r="A724" s="16" t="s">
        <v>61</v>
      </c>
      <c r="B724" t="s">
        <v>41</v>
      </c>
      <c r="C724" t="s">
        <v>44</v>
      </c>
      <c r="D724" t="s">
        <v>26</v>
      </c>
      <c r="E724" t="s">
        <v>22</v>
      </c>
      <c r="F724" t="s">
        <v>19</v>
      </c>
      <c r="G724">
        <v>5</v>
      </c>
      <c r="H724">
        <v>5</v>
      </c>
      <c r="I724">
        <v>0</v>
      </c>
      <c r="J724">
        <v>2.8</v>
      </c>
      <c r="K724" t="str" cm="1">
        <f t="array" ref="K72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25" spans="1:11" x14ac:dyDescent="0.35">
      <c r="A725" s="16" t="s">
        <v>10</v>
      </c>
      <c r="B725" t="s">
        <v>41</v>
      </c>
      <c r="C725" t="s">
        <v>44</v>
      </c>
      <c r="D725" t="s">
        <v>40</v>
      </c>
      <c r="E725" t="s">
        <v>22</v>
      </c>
      <c r="F725" t="s">
        <v>19</v>
      </c>
      <c r="G725">
        <v>3</v>
      </c>
      <c r="H725">
        <v>3</v>
      </c>
      <c r="I725">
        <v>0</v>
      </c>
      <c r="J725">
        <v>3.4</v>
      </c>
      <c r="K725" t="str" cm="1">
        <f t="array" ref="K72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26" spans="1:11" x14ac:dyDescent="0.35">
      <c r="A726" s="16" t="s">
        <v>31</v>
      </c>
      <c r="B726" t="s">
        <v>37</v>
      </c>
      <c r="C726" t="s">
        <v>38</v>
      </c>
      <c r="D726" t="s">
        <v>26</v>
      </c>
      <c r="E726" t="s">
        <v>14</v>
      </c>
      <c r="F726" t="s">
        <v>19</v>
      </c>
      <c r="G726">
        <v>4</v>
      </c>
      <c r="H726">
        <v>4</v>
      </c>
      <c r="I726">
        <v>0</v>
      </c>
      <c r="J726">
        <v>4.3</v>
      </c>
      <c r="K726" t="str" cm="1">
        <f t="array" ref="K72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27" spans="1:11" x14ac:dyDescent="0.35">
      <c r="A727" s="16" t="s">
        <v>23</v>
      </c>
      <c r="B727" t="s">
        <v>24</v>
      </c>
      <c r="C727" t="s">
        <v>64</v>
      </c>
      <c r="D727" t="s">
        <v>40</v>
      </c>
      <c r="E727" t="s">
        <v>27</v>
      </c>
      <c r="F727" t="s">
        <v>15</v>
      </c>
      <c r="G727">
        <v>6</v>
      </c>
      <c r="H727">
        <v>5</v>
      </c>
      <c r="I727">
        <v>0</v>
      </c>
      <c r="J727">
        <v>3.2</v>
      </c>
      <c r="K727" t="str" cm="1">
        <f t="array" ref="K72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28" spans="1:11" x14ac:dyDescent="0.35">
      <c r="A728" s="16" t="s">
        <v>36</v>
      </c>
      <c r="B728" t="s">
        <v>48</v>
      </c>
      <c r="C728" t="s">
        <v>49</v>
      </c>
      <c r="D728" t="s">
        <v>40</v>
      </c>
      <c r="E728" t="s">
        <v>18</v>
      </c>
      <c r="F728" t="s">
        <v>19</v>
      </c>
      <c r="G728">
        <v>5</v>
      </c>
      <c r="H728">
        <v>4</v>
      </c>
      <c r="I728">
        <v>1</v>
      </c>
      <c r="J728">
        <v>4</v>
      </c>
      <c r="K728" t="str" cm="1">
        <f t="array" ref="K72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729" spans="1:11" x14ac:dyDescent="0.35">
      <c r="A729" s="16" t="s">
        <v>33</v>
      </c>
      <c r="B729" t="s">
        <v>16</v>
      </c>
      <c r="C729" t="s">
        <v>60</v>
      </c>
      <c r="D729" t="s">
        <v>21</v>
      </c>
      <c r="E729" t="s">
        <v>18</v>
      </c>
      <c r="F729" t="s">
        <v>19</v>
      </c>
      <c r="G729">
        <v>6</v>
      </c>
      <c r="H729">
        <v>5</v>
      </c>
      <c r="I729">
        <v>0</v>
      </c>
      <c r="J729">
        <v>3</v>
      </c>
      <c r="K729" t="str" cm="1">
        <f t="array" ref="K72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730" spans="1:11" x14ac:dyDescent="0.35">
      <c r="A730" s="16" t="s">
        <v>43</v>
      </c>
      <c r="B730" t="s">
        <v>24</v>
      </c>
      <c r="C730" t="s">
        <v>64</v>
      </c>
      <c r="D730" t="s">
        <v>40</v>
      </c>
      <c r="E730" t="s">
        <v>53</v>
      </c>
      <c r="F730" t="s">
        <v>15</v>
      </c>
      <c r="G730">
        <v>3</v>
      </c>
      <c r="H730">
        <v>3</v>
      </c>
      <c r="I730">
        <v>0</v>
      </c>
      <c r="J730">
        <v>3.6</v>
      </c>
      <c r="K730" t="str" cm="1">
        <f t="array" ref="K73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731" spans="1:11" x14ac:dyDescent="0.35">
      <c r="A731" s="16" t="s">
        <v>23</v>
      </c>
      <c r="B731" t="s">
        <v>41</v>
      </c>
      <c r="C731" t="s">
        <v>42</v>
      </c>
      <c r="D731" t="s">
        <v>13</v>
      </c>
      <c r="E731" t="s">
        <v>27</v>
      </c>
      <c r="F731" t="s">
        <v>15</v>
      </c>
      <c r="G731">
        <v>7</v>
      </c>
      <c r="H731">
        <v>7</v>
      </c>
      <c r="I731">
        <v>0</v>
      </c>
      <c r="J731">
        <v>1.3</v>
      </c>
      <c r="K731" t="str" cm="1">
        <f t="array" ref="K73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32" spans="1:11" x14ac:dyDescent="0.35">
      <c r="A732" s="16" t="s">
        <v>10</v>
      </c>
      <c r="B732" t="s">
        <v>28</v>
      </c>
      <c r="C732" t="s">
        <v>29</v>
      </c>
      <c r="D732" t="s">
        <v>22</v>
      </c>
      <c r="E732" t="s">
        <v>27</v>
      </c>
      <c r="F732" t="s">
        <v>15</v>
      </c>
      <c r="G732">
        <v>3</v>
      </c>
      <c r="H732">
        <v>2</v>
      </c>
      <c r="I732">
        <v>0</v>
      </c>
      <c r="J732">
        <v>3.4</v>
      </c>
      <c r="K732" t="str" cm="1">
        <f t="array" ref="K73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33" spans="1:11" x14ac:dyDescent="0.35">
      <c r="A733" s="16" t="s">
        <v>45</v>
      </c>
      <c r="B733" t="s">
        <v>16</v>
      </c>
      <c r="C733" t="s">
        <v>17</v>
      </c>
      <c r="D733" t="s">
        <v>40</v>
      </c>
      <c r="E733" t="s">
        <v>22</v>
      </c>
      <c r="F733" t="s">
        <v>19</v>
      </c>
      <c r="G733">
        <v>6</v>
      </c>
      <c r="H733">
        <v>6</v>
      </c>
      <c r="I733">
        <v>0</v>
      </c>
      <c r="J733">
        <v>1.4</v>
      </c>
      <c r="K733" t="str" cm="1">
        <f t="array" ref="K73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734" spans="1:11" x14ac:dyDescent="0.35">
      <c r="A734" s="16" t="s">
        <v>50</v>
      </c>
      <c r="B734" t="s">
        <v>48</v>
      </c>
      <c r="C734" t="s">
        <v>49</v>
      </c>
      <c r="D734" t="s">
        <v>32</v>
      </c>
      <c r="E734" t="s">
        <v>53</v>
      </c>
      <c r="F734" t="s">
        <v>15</v>
      </c>
      <c r="G734">
        <v>4</v>
      </c>
      <c r="H734">
        <v>3</v>
      </c>
      <c r="I734">
        <v>0</v>
      </c>
      <c r="J734">
        <v>3.8</v>
      </c>
      <c r="K734" t="str" cm="1">
        <f t="array" ref="K73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735" spans="1:11" x14ac:dyDescent="0.35">
      <c r="A735" s="16" t="s">
        <v>31</v>
      </c>
      <c r="B735" t="s">
        <v>56</v>
      </c>
      <c r="C735" t="s">
        <v>57</v>
      </c>
      <c r="D735" t="s">
        <v>21</v>
      </c>
      <c r="E735" t="s">
        <v>14</v>
      </c>
      <c r="F735" t="s">
        <v>15</v>
      </c>
      <c r="G735">
        <v>6</v>
      </c>
      <c r="H735">
        <v>6</v>
      </c>
      <c r="I735">
        <v>1</v>
      </c>
      <c r="J735">
        <v>4.2</v>
      </c>
      <c r="K735" t="str" cm="1">
        <f t="array" ref="K73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36" spans="1:11" x14ac:dyDescent="0.35">
      <c r="A736" s="16" t="s">
        <v>20</v>
      </c>
      <c r="B736" t="s">
        <v>56</v>
      </c>
      <c r="C736" t="s">
        <v>57</v>
      </c>
      <c r="D736" t="s">
        <v>21</v>
      </c>
      <c r="E736" t="s">
        <v>30</v>
      </c>
      <c r="F736" t="s">
        <v>15</v>
      </c>
      <c r="G736">
        <v>6</v>
      </c>
      <c r="H736">
        <v>5</v>
      </c>
      <c r="I736">
        <v>1</v>
      </c>
      <c r="J736">
        <v>2.2000000000000002</v>
      </c>
      <c r="K736" t="str" cm="1">
        <f t="array" ref="K73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737" spans="1:11" x14ac:dyDescent="0.35">
      <c r="A737" s="16" t="s">
        <v>43</v>
      </c>
      <c r="B737" t="s">
        <v>41</v>
      </c>
      <c r="C737" t="s">
        <v>42</v>
      </c>
      <c r="D737" t="s">
        <v>13</v>
      </c>
      <c r="E737" t="s">
        <v>14</v>
      </c>
      <c r="F737" t="s">
        <v>19</v>
      </c>
      <c r="G737">
        <v>4</v>
      </c>
      <c r="H737">
        <v>3</v>
      </c>
      <c r="I737">
        <v>0</v>
      </c>
      <c r="J737">
        <v>2.8</v>
      </c>
      <c r="K737" t="str" cm="1">
        <f t="array" ref="K73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738" spans="1:11" x14ac:dyDescent="0.35">
      <c r="A738" s="16" t="s">
        <v>61</v>
      </c>
      <c r="B738" t="s">
        <v>56</v>
      </c>
      <c r="C738" t="s">
        <v>62</v>
      </c>
      <c r="D738" t="s">
        <v>40</v>
      </c>
      <c r="E738" t="s">
        <v>53</v>
      </c>
      <c r="F738" t="s">
        <v>19</v>
      </c>
      <c r="G738">
        <v>3</v>
      </c>
      <c r="H738">
        <v>2</v>
      </c>
      <c r="I738">
        <v>0</v>
      </c>
      <c r="J738">
        <v>1.5</v>
      </c>
      <c r="K738" t="str" cm="1">
        <f t="array" ref="K73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39" spans="1:11" x14ac:dyDescent="0.35">
      <c r="A739" s="16" t="s">
        <v>61</v>
      </c>
      <c r="B739" t="s">
        <v>56</v>
      </c>
      <c r="C739" t="s">
        <v>57</v>
      </c>
      <c r="D739" t="s">
        <v>21</v>
      </c>
      <c r="E739" t="s">
        <v>14</v>
      </c>
      <c r="F739" t="s">
        <v>19</v>
      </c>
      <c r="G739">
        <v>5</v>
      </c>
      <c r="H739">
        <v>5</v>
      </c>
      <c r="I739">
        <v>1</v>
      </c>
      <c r="J739">
        <v>2.8</v>
      </c>
      <c r="K739" t="str" cm="1">
        <f t="array" ref="K73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40" spans="1:11" x14ac:dyDescent="0.35">
      <c r="A740" s="16" t="s">
        <v>23</v>
      </c>
      <c r="B740" t="s">
        <v>34</v>
      </c>
      <c r="C740" t="s">
        <v>35</v>
      </c>
      <c r="D740" t="s">
        <v>26</v>
      </c>
      <c r="E740" t="s">
        <v>14</v>
      </c>
      <c r="F740" t="s">
        <v>15</v>
      </c>
      <c r="G740">
        <v>4</v>
      </c>
      <c r="H740">
        <v>2</v>
      </c>
      <c r="I740">
        <v>0</v>
      </c>
      <c r="J740">
        <v>1.4</v>
      </c>
      <c r="K740" t="str" cm="1">
        <f t="array" ref="K74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41" spans="1:11" x14ac:dyDescent="0.35">
      <c r="A741" s="16" t="s">
        <v>23</v>
      </c>
      <c r="B741" t="s">
        <v>37</v>
      </c>
      <c r="C741" t="s">
        <v>39</v>
      </c>
      <c r="D741" t="s">
        <v>32</v>
      </c>
      <c r="E741" t="s">
        <v>22</v>
      </c>
      <c r="F741" t="s">
        <v>15</v>
      </c>
      <c r="G741">
        <v>3</v>
      </c>
      <c r="H741">
        <v>3</v>
      </c>
      <c r="I741">
        <v>0</v>
      </c>
      <c r="J741">
        <v>2.2999999999999998</v>
      </c>
      <c r="K741" t="str" cm="1">
        <f t="array" ref="K74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42" spans="1:11" x14ac:dyDescent="0.35">
      <c r="A742" s="16" t="s">
        <v>33</v>
      </c>
      <c r="B742" t="s">
        <v>48</v>
      </c>
      <c r="C742" t="s">
        <v>63</v>
      </c>
      <c r="D742" t="s">
        <v>13</v>
      </c>
      <c r="E742" t="s">
        <v>30</v>
      </c>
      <c r="F742" t="s">
        <v>15</v>
      </c>
      <c r="G742">
        <v>5</v>
      </c>
      <c r="H742">
        <v>5</v>
      </c>
      <c r="I742">
        <v>1</v>
      </c>
      <c r="J742">
        <v>3.4</v>
      </c>
      <c r="K742" t="str" cm="1">
        <f t="array" ref="K74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743" spans="1:11" x14ac:dyDescent="0.35">
      <c r="A743" s="16" t="s">
        <v>55</v>
      </c>
      <c r="B743" t="s">
        <v>24</v>
      </c>
      <c r="C743" t="s">
        <v>64</v>
      </c>
      <c r="D743" t="s">
        <v>22</v>
      </c>
      <c r="E743" t="s">
        <v>27</v>
      </c>
      <c r="F743" t="s">
        <v>19</v>
      </c>
      <c r="G743">
        <v>4</v>
      </c>
      <c r="H743">
        <v>4</v>
      </c>
      <c r="I743">
        <v>0</v>
      </c>
      <c r="J743">
        <v>2.7</v>
      </c>
      <c r="K743" t="str" cm="1">
        <f t="array" ref="K74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744" spans="1:11" x14ac:dyDescent="0.35">
      <c r="A744" s="16" t="s">
        <v>43</v>
      </c>
      <c r="B744" t="s">
        <v>37</v>
      </c>
      <c r="C744" t="s">
        <v>38</v>
      </c>
      <c r="D744" t="s">
        <v>21</v>
      </c>
      <c r="E744" t="s">
        <v>14</v>
      </c>
      <c r="F744" t="s">
        <v>19</v>
      </c>
      <c r="G744">
        <v>4</v>
      </c>
      <c r="H744">
        <v>4</v>
      </c>
      <c r="I744">
        <v>0</v>
      </c>
      <c r="J744">
        <v>4.0999999999999996</v>
      </c>
      <c r="K744" t="str" cm="1">
        <f t="array" ref="K74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745" spans="1:11" x14ac:dyDescent="0.35">
      <c r="A745" s="16" t="s">
        <v>10</v>
      </c>
      <c r="B745" t="s">
        <v>37</v>
      </c>
      <c r="C745" t="s">
        <v>39</v>
      </c>
      <c r="D745" t="s">
        <v>40</v>
      </c>
      <c r="E745" t="s">
        <v>30</v>
      </c>
      <c r="F745" t="s">
        <v>19</v>
      </c>
      <c r="G745">
        <v>9</v>
      </c>
      <c r="H745">
        <v>9</v>
      </c>
      <c r="I745">
        <v>2</v>
      </c>
      <c r="J745">
        <v>2.1</v>
      </c>
      <c r="K745" t="str" cm="1">
        <f t="array" ref="K74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46" spans="1:11" x14ac:dyDescent="0.35">
      <c r="A746" s="16" t="s">
        <v>55</v>
      </c>
      <c r="B746" t="s">
        <v>34</v>
      </c>
      <c r="C746" t="s">
        <v>35</v>
      </c>
      <c r="D746" t="s">
        <v>26</v>
      </c>
      <c r="E746" t="s">
        <v>14</v>
      </c>
      <c r="F746" t="s">
        <v>19</v>
      </c>
      <c r="G746">
        <v>3</v>
      </c>
      <c r="H746">
        <v>3</v>
      </c>
      <c r="I746">
        <v>0</v>
      </c>
      <c r="J746">
        <v>0.6</v>
      </c>
      <c r="K746" t="str" cm="1">
        <f t="array" ref="K74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747" spans="1:11" x14ac:dyDescent="0.35">
      <c r="A747" s="16" t="s">
        <v>23</v>
      </c>
      <c r="B747" t="s">
        <v>48</v>
      </c>
      <c r="C747" t="s">
        <v>49</v>
      </c>
      <c r="D747" t="s">
        <v>26</v>
      </c>
      <c r="E747" t="s">
        <v>18</v>
      </c>
      <c r="F747" t="s">
        <v>15</v>
      </c>
      <c r="G747">
        <v>6</v>
      </c>
      <c r="H747">
        <v>6</v>
      </c>
      <c r="I747">
        <v>1</v>
      </c>
      <c r="J747">
        <v>1.7</v>
      </c>
      <c r="K747" t="str" cm="1">
        <f t="array" ref="K74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48" spans="1:11" x14ac:dyDescent="0.35">
      <c r="A748" s="16" t="s">
        <v>43</v>
      </c>
      <c r="B748" t="s">
        <v>24</v>
      </c>
      <c r="C748" t="s">
        <v>25</v>
      </c>
      <c r="D748" t="s">
        <v>22</v>
      </c>
      <c r="E748" t="s">
        <v>30</v>
      </c>
      <c r="F748" t="s">
        <v>15</v>
      </c>
      <c r="G748">
        <v>6</v>
      </c>
      <c r="H748">
        <v>6</v>
      </c>
      <c r="I748">
        <v>2</v>
      </c>
      <c r="J748">
        <v>2.5</v>
      </c>
      <c r="K748" t="str" cm="1">
        <f t="array" ref="K74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749" spans="1:11" x14ac:dyDescent="0.35">
      <c r="A749" s="16" t="s">
        <v>36</v>
      </c>
      <c r="B749" t="s">
        <v>28</v>
      </c>
      <c r="C749" t="s">
        <v>29</v>
      </c>
      <c r="D749" t="s">
        <v>21</v>
      </c>
      <c r="E749" t="s">
        <v>30</v>
      </c>
      <c r="F749" t="s">
        <v>15</v>
      </c>
      <c r="G749">
        <v>4</v>
      </c>
      <c r="H749">
        <v>4</v>
      </c>
      <c r="I749">
        <v>1</v>
      </c>
      <c r="J749">
        <v>3.5</v>
      </c>
      <c r="K749" t="str" cm="1">
        <f t="array" ref="K74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750" spans="1:11" x14ac:dyDescent="0.35">
      <c r="A750" s="16" t="s">
        <v>23</v>
      </c>
      <c r="B750" t="s">
        <v>11</v>
      </c>
      <c r="C750" t="s">
        <v>52</v>
      </c>
      <c r="D750" t="s">
        <v>32</v>
      </c>
      <c r="E750" t="s">
        <v>18</v>
      </c>
      <c r="F750" t="s">
        <v>15</v>
      </c>
      <c r="G750">
        <v>4</v>
      </c>
      <c r="H750">
        <v>2</v>
      </c>
      <c r="I750">
        <v>1</v>
      </c>
      <c r="J750">
        <v>2.6</v>
      </c>
      <c r="K750" t="str" cm="1">
        <f t="array" ref="K75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51" spans="1:11" x14ac:dyDescent="0.35">
      <c r="A751" s="16" t="s">
        <v>10</v>
      </c>
      <c r="B751" t="s">
        <v>46</v>
      </c>
      <c r="C751" t="s">
        <v>47</v>
      </c>
      <c r="D751" t="s">
        <v>26</v>
      </c>
      <c r="E751" t="s">
        <v>14</v>
      </c>
      <c r="F751" t="s">
        <v>15</v>
      </c>
      <c r="G751">
        <v>3</v>
      </c>
      <c r="H751">
        <v>2</v>
      </c>
      <c r="I751">
        <v>1</v>
      </c>
      <c r="J751">
        <v>1.7</v>
      </c>
      <c r="K751" t="str" cm="1">
        <f t="array" ref="K75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52" spans="1:11" x14ac:dyDescent="0.35">
      <c r="A752" s="16" t="s">
        <v>55</v>
      </c>
      <c r="B752" t="s">
        <v>48</v>
      </c>
      <c r="C752" t="s">
        <v>63</v>
      </c>
      <c r="D752" t="s">
        <v>13</v>
      </c>
      <c r="E752" t="s">
        <v>22</v>
      </c>
      <c r="F752" t="s">
        <v>15</v>
      </c>
      <c r="G752">
        <v>2</v>
      </c>
      <c r="H752">
        <v>2</v>
      </c>
      <c r="I752">
        <v>0</v>
      </c>
      <c r="J752">
        <v>3.2</v>
      </c>
      <c r="K752" t="str" cm="1">
        <f t="array" ref="K75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753" spans="1:11" x14ac:dyDescent="0.35">
      <c r="A753" s="16" t="s">
        <v>50</v>
      </c>
      <c r="B753" t="s">
        <v>41</v>
      </c>
      <c r="C753" t="s">
        <v>44</v>
      </c>
      <c r="D753" t="s">
        <v>26</v>
      </c>
      <c r="E753" t="s">
        <v>14</v>
      </c>
      <c r="F753" t="s">
        <v>15</v>
      </c>
      <c r="G753">
        <v>3</v>
      </c>
      <c r="H753">
        <v>3</v>
      </c>
      <c r="I753">
        <v>0</v>
      </c>
      <c r="J753">
        <v>3.7</v>
      </c>
      <c r="K753" t="str" cm="1">
        <f t="array" ref="K75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754" spans="1:11" x14ac:dyDescent="0.35">
      <c r="A754" s="16" t="s">
        <v>61</v>
      </c>
      <c r="B754" t="s">
        <v>46</v>
      </c>
      <c r="C754" t="s">
        <v>47</v>
      </c>
      <c r="D754" t="s">
        <v>26</v>
      </c>
      <c r="E754" t="s">
        <v>22</v>
      </c>
      <c r="F754" t="s">
        <v>15</v>
      </c>
      <c r="G754">
        <v>5</v>
      </c>
      <c r="H754">
        <v>4</v>
      </c>
      <c r="I754">
        <v>0</v>
      </c>
      <c r="J754">
        <v>2.8</v>
      </c>
      <c r="K754" t="str" cm="1">
        <f t="array" ref="K75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55" spans="1:11" x14ac:dyDescent="0.35">
      <c r="A755" s="16" t="s">
        <v>10</v>
      </c>
      <c r="B755" t="s">
        <v>28</v>
      </c>
      <c r="C755" t="s">
        <v>58</v>
      </c>
      <c r="D755" t="s">
        <v>40</v>
      </c>
      <c r="E755" t="s">
        <v>53</v>
      </c>
      <c r="F755" t="s">
        <v>15</v>
      </c>
      <c r="G755">
        <v>4</v>
      </c>
      <c r="H755">
        <v>4</v>
      </c>
      <c r="I755">
        <v>0</v>
      </c>
      <c r="J755">
        <v>4.0999999999999996</v>
      </c>
      <c r="K755" t="str" cm="1">
        <f t="array" ref="K75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56" spans="1:11" x14ac:dyDescent="0.35">
      <c r="A756" s="16" t="s">
        <v>59</v>
      </c>
      <c r="B756" t="s">
        <v>16</v>
      </c>
      <c r="C756" t="s">
        <v>17</v>
      </c>
      <c r="D756" t="s">
        <v>13</v>
      </c>
      <c r="E756" t="s">
        <v>27</v>
      </c>
      <c r="F756" t="s">
        <v>15</v>
      </c>
      <c r="G756">
        <v>5</v>
      </c>
      <c r="H756">
        <v>5</v>
      </c>
      <c r="I756">
        <v>0</v>
      </c>
      <c r="J756">
        <v>2.8</v>
      </c>
      <c r="K756" t="str" cm="1">
        <f t="array" ref="K75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757" spans="1:11" x14ac:dyDescent="0.35">
      <c r="A757" s="16" t="s">
        <v>33</v>
      </c>
      <c r="B757" t="s">
        <v>41</v>
      </c>
      <c r="C757" t="s">
        <v>42</v>
      </c>
      <c r="D757" t="s">
        <v>32</v>
      </c>
      <c r="E757" t="s">
        <v>22</v>
      </c>
      <c r="F757" t="s">
        <v>15</v>
      </c>
      <c r="G757">
        <v>2</v>
      </c>
      <c r="H757">
        <v>2</v>
      </c>
      <c r="I757">
        <v>0</v>
      </c>
      <c r="J757">
        <v>0.6</v>
      </c>
      <c r="K757" t="str" cm="1">
        <f t="array" ref="K75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758" spans="1:11" x14ac:dyDescent="0.35">
      <c r="A758" s="16" t="s">
        <v>23</v>
      </c>
      <c r="B758" t="s">
        <v>24</v>
      </c>
      <c r="C758" t="s">
        <v>25</v>
      </c>
      <c r="D758" t="s">
        <v>40</v>
      </c>
      <c r="E758" t="s">
        <v>53</v>
      </c>
      <c r="F758" t="s">
        <v>15</v>
      </c>
      <c r="G758">
        <v>2</v>
      </c>
      <c r="H758">
        <v>2</v>
      </c>
      <c r="I758">
        <v>0</v>
      </c>
      <c r="J758">
        <v>3.4</v>
      </c>
      <c r="K758" t="str" cm="1">
        <f t="array" ref="K75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759" spans="1:11" x14ac:dyDescent="0.35">
      <c r="A759" s="16" t="s">
        <v>43</v>
      </c>
      <c r="B759" t="s">
        <v>28</v>
      </c>
      <c r="C759" t="s">
        <v>58</v>
      </c>
      <c r="D759" t="s">
        <v>40</v>
      </c>
      <c r="E759" t="s">
        <v>27</v>
      </c>
      <c r="F759" t="s">
        <v>19</v>
      </c>
      <c r="G759">
        <v>5</v>
      </c>
      <c r="H759">
        <v>5</v>
      </c>
      <c r="I759">
        <v>0</v>
      </c>
      <c r="J759">
        <v>3.4</v>
      </c>
      <c r="K759" t="str" cm="1">
        <f t="array" ref="K75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760" spans="1:11" x14ac:dyDescent="0.35">
      <c r="A760" s="16" t="s">
        <v>43</v>
      </c>
      <c r="B760" t="s">
        <v>11</v>
      </c>
      <c r="C760" t="s">
        <v>52</v>
      </c>
      <c r="D760" t="s">
        <v>13</v>
      </c>
      <c r="E760" t="s">
        <v>14</v>
      </c>
      <c r="F760" t="s">
        <v>15</v>
      </c>
      <c r="G760">
        <v>5</v>
      </c>
      <c r="H760">
        <v>5</v>
      </c>
      <c r="I760">
        <v>0</v>
      </c>
      <c r="J760">
        <v>2.9</v>
      </c>
      <c r="K760" t="str" cm="1">
        <f t="array" ref="K76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761" spans="1:11" x14ac:dyDescent="0.35">
      <c r="A761" s="16" t="s">
        <v>45</v>
      </c>
      <c r="B761" t="s">
        <v>16</v>
      </c>
      <c r="C761" t="s">
        <v>17</v>
      </c>
      <c r="D761" t="s">
        <v>22</v>
      </c>
      <c r="E761" t="s">
        <v>53</v>
      </c>
      <c r="F761" t="s">
        <v>15</v>
      </c>
      <c r="G761">
        <v>5</v>
      </c>
      <c r="H761">
        <v>5</v>
      </c>
      <c r="I761">
        <v>1</v>
      </c>
      <c r="J761">
        <v>2.5</v>
      </c>
      <c r="K761" t="str" cm="1">
        <f t="array" ref="K76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762" spans="1:11" x14ac:dyDescent="0.35">
      <c r="A762" s="16" t="s">
        <v>36</v>
      </c>
      <c r="B762" t="s">
        <v>11</v>
      </c>
      <c r="C762" t="s">
        <v>52</v>
      </c>
      <c r="D762" t="s">
        <v>26</v>
      </c>
      <c r="E762" t="s">
        <v>30</v>
      </c>
      <c r="F762" t="s">
        <v>15</v>
      </c>
      <c r="G762">
        <v>8</v>
      </c>
      <c r="H762">
        <v>7</v>
      </c>
      <c r="I762">
        <v>1</v>
      </c>
      <c r="J762">
        <v>2.6</v>
      </c>
      <c r="K762" t="str" cm="1">
        <f t="array" ref="K76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763" spans="1:11" x14ac:dyDescent="0.35">
      <c r="A763" s="16" t="s">
        <v>36</v>
      </c>
      <c r="B763" t="s">
        <v>16</v>
      </c>
      <c r="C763" t="s">
        <v>17</v>
      </c>
      <c r="D763" t="s">
        <v>22</v>
      </c>
      <c r="E763" t="s">
        <v>53</v>
      </c>
      <c r="F763" t="s">
        <v>19</v>
      </c>
      <c r="G763">
        <v>3</v>
      </c>
      <c r="H763">
        <v>3</v>
      </c>
      <c r="I763">
        <v>0</v>
      </c>
      <c r="J763">
        <v>2.5</v>
      </c>
      <c r="K763" t="str" cm="1">
        <f t="array" ref="K76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764" spans="1:11" x14ac:dyDescent="0.35">
      <c r="A764" s="16" t="s">
        <v>33</v>
      </c>
      <c r="B764" t="s">
        <v>48</v>
      </c>
      <c r="C764" t="s">
        <v>63</v>
      </c>
      <c r="D764" t="s">
        <v>21</v>
      </c>
      <c r="E764" t="s">
        <v>27</v>
      </c>
      <c r="F764" t="s">
        <v>19</v>
      </c>
      <c r="G764">
        <v>10</v>
      </c>
      <c r="H764">
        <v>10</v>
      </c>
      <c r="I764">
        <v>1</v>
      </c>
      <c r="J764">
        <v>4.4000000000000004</v>
      </c>
      <c r="K764" t="str" cm="1">
        <f t="array" ref="K76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765" spans="1:11" x14ac:dyDescent="0.35">
      <c r="A765" s="16" t="s">
        <v>61</v>
      </c>
      <c r="B765" t="s">
        <v>41</v>
      </c>
      <c r="C765" t="s">
        <v>42</v>
      </c>
      <c r="D765" t="s">
        <v>13</v>
      </c>
      <c r="E765" t="s">
        <v>30</v>
      </c>
      <c r="F765" t="s">
        <v>15</v>
      </c>
      <c r="G765">
        <v>3</v>
      </c>
      <c r="H765">
        <v>3</v>
      </c>
      <c r="I765">
        <v>0</v>
      </c>
      <c r="J765">
        <v>1.8</v>
      </c>
      <c r="K765" t="str" cm="1">
        <f t="array" ref="K76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66" spans="1:11" x14ac:dyDescent="0.35">
      <c r="A766" s="16" t="s">
        <v>43</v>
      </c>
      <c r="B766" t="s">
        <v>48</v>
      </c>
      <c r="C766" t="s">
        <v>63</v>
      </c>
      <c r="D766" t="s">
        <v>22</v>
      </c>
      <c r="E766" t="s">
        <v>53</v>
      </c>
      <c r="F766" t="s">
        <v>15</v>
      </c>
      <c r="G766">
        <v>5</v>
      </c>
      <c r="H766">
        <v>5</v>
      </c>
      <c r="I766">
        <v>1</v>
      </c>
      <c r="J766">
        <v>3.3</v>
      </c>
      <c r="K766" t="str" cm="1">
        <f t="array" ref="K76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767" spans="1:11" x14ac:dyDescent="0.35">
      <c r="A767" s="16" t="s">
        <v>31</v>
      </c>
      <c r="B767" t="s">
        <v>46</v>
      </c>
      <c r="C767" t="s">
        <v>54</v>
      </c>
      <c r="D767" t="s">
        <v>22</v>
      </c>
      <c r="E767" t="s">
        <v>14</v>
      </c>
      <c r="F767" t="s">
        <v>15</v>
      </c>
      <c r="G767">
        <v>4</v>
      </c>
      <c r="H767">
        <v>3</v>
      </c>
      <c r="I767">
        <v>0</v>
      </c>
      <c r="J767">
        <v>3.3</v>
      </c>
      <c r="K767" t="str" cm="1">
        <f t="array" ref="K76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68" spans="1:11" x14ac:dyDescent="0.35">
      <c r="A768" s="16" t="s">
        <v>10</v>
      </c>
      <c r="B768" t="s">
        <v>28</v>
      </c>
      <c r="C768" t="s">
        <v>58</v>
      </c>
      <c r="D768" t="s">
        <v>13</v>
      </c>
      <c r="E768" t="s">
        <v>30</v>
      </c>
      <c r="F768" t="s">
        <v>19</v>
      </c>
      <c r="G768">
        <v>5</v>
      </c>
      <c r="H768">
        <v>5</v>
      </c>
      <c r="I768">
        <v>0</v>
      </c>
      <c r="J768">
        <v>3.5</v>
      </c>
      <c r="K768" t="str" cm="1">
        <f t="array" ref="K76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769" spans="1:11" x14ac:dyDescent="0.35">
      <c r="A769" s="16" t="s">
        <v>31</v>
      </c>
      <c r="B769" t="s">
        <v>41</v>
      </c>
      <c r="C769" t="s">
        <v>42</v>
      </c>
      <c r="D769" t="s">
        <v>13</v>
      </c>
      <c r="E769" t="s">
        <v>30</v>
      </c>
      <c r="F769" t="s">
        <v>15</v>
      </c>
      <c r="G769">
        <v>3</v>
      </c>
      <c r="H769">
        <v>3</v>
      </c>
      <c r="I769">
        <v>0</v>
      </c>
      <c r="J769">
        <v>3.6</v>
      </c>
      <c r="K769" t="str" cm="1">
        <f t="array" ref="K76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70" spans="1:11" x14ac:dyDescent="0.35">
      <c r="A770" s="16" t="s">
        <v>45</v>
      </c>
      <c r="B770" t="s">
        <v>46</v>
      </c>
      <c r="C770" t="s">
        <v>54</v>
      </c>
      <c r="D770" t="s">
        <v>13</v>
      </c>
      <c r="E770" t="s">
        <v>18</v>
      </c>
      <c r="F770" t="s">
        <v>15</v>
      </c>
      <c r="G770">
        <v>4</v>
      </c>
      <c r="H770">
        <v>3</v>
      </c>
      <c r="I770">
        <v>0</v>
      </c>
      <c r="J770">
        <v>2.8</v>
      </c>
      <c r="K770" t="str" cm="1">
        <f t="array" ref="K77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771" spans="1:11" x14ac:dyDescent="0.35">
      <c r="A771" s="16" t="s">
        <v>31</v>
      </c>
      <c r="B771" t="s">
        <v>24</v>
      </c>
      <c r="C771" t="s">
        <v>25</v>
      </c>
      <c r="D771" t="s">
        <v>40</v>
      </c>
      <c r="E771" t="s">
        <v>27</v>
      </c>
      <c r="F771" t="s">
        <v>15</v>
      </c>
      <c r="G771">
        <v>7</v>
      </c>
      <c r="H771">
        <v>4</v>
      </c>
      <c r="I771">
        <v>0</v>
      </c>
      <c r="J771">
        <v>2.4</v>
      </c>
      <c r="K771" t="str" cm="1">
        <f t="array" ref="K77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72" spans="1:11" x14ac:dyDescent="0.35">
      <c r="A772" s="16" t="s">
        <v>36</v>
      </c>
      <c r="B772" t="s">
        <v>46</v>
      </c>
      <c r="C772" t="s">
        <v>47</v>
      </c>
      <c r="D772" t="s">
        <v>22</v>
      </c>
      <c r="E772" t="s">
        <v>22</v>
      </c>
      <c r="F772" t="s">
        <v>15</v>
      </c>
      <c r="G772">
        <v>5</v>
      </c>
      <c r="H772">
        <v>4</v>
      </c>
      <c r="I772">
        <v>0</v>
      </c>
      <c r="J772">
        <v>4.7</v>
      </c>
      <c r="K772" t="str" cm="1">
        <f t="array" ref="K77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773" spans="1:11" x14ac:dyDescent="0.35">
      <c r="A773" s="16" t="s">
        <v>31</v>
      </c>
      <c r="B773" t="s">
        <v>16</v>
      </c>
      <c r="C773" t="s">
        <v>60</v>
      </c>
      <c r="D773" t="s">
        <v>13</v>
      </c>
      <c r="E773" t="s">
        <v>30</v>
      </c>
      <c r="F773" t="s">
        <v>15</v>
      </c>
      <c r="G773">
        <v>7</v>
      </c>
      <c r="H773">
        <v>7</v>
      </c>
      <c r="I773">
        <v>0</v>
      </c>
      <c r="J773">
        <v>0.7</v>
      </c>
      <c r="K773" t="str" cm="1">
        <f t="array" ref="K77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74" spans="1:11" x14ac:dyDescent="0.35">
      <c r="A774" s="16" t="s">
        <v>59</v>
      </c>
      <c r="B774" t="s">
        <v>28</v>
      </c>
      <c r="C774" t="s">
        <v>58</v>
      </c>
      <c r="D774" t="s">
        <v>21</v>
      </c>
      <c r="E774" t="s">
        <v>27</v>
      </c>
      <c r="F774" t="s">
        <v>15</v>
      </c>
      <c r="G774">
        <v>6</v>
      </c>
      <c r="H774">
        <v>5</v>
      </c>
      <c r="I774">
        <v>0</v>
      </c>
      <c r="J774">
        <v>3</v>
      </c>
      <c r="K774" t="str" cm="1">
        <f t="array" ref="K77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775" spans="1:11" x14ac:dyDescent="0.35">
      <c r="A775" s="16" t="s">
        <v>36</v>
      </c>
      <c r="B775" t="s">
        <v>24</v>
      </c>
      <c r="C775" t="s">
        <v>25</v>
      </c>
      <c r="D775" t="s">
        <v>40</v>
      </c>
      <c r="E775" t="s">
        <v>30</v>
      </c>
      <c r="F775" t="s">
        <v>15</v>
      </c>
      <c r="G775">
        <v>4</v>
      </c>
      <c r="H775">
        <v>4</v>
      </c>
      <c r="I775">
        <v>0</v>
      </c>
      <c r="J775">
        <v>3.7</v>
      </c>
      <c r="K775" t="str" cm="1">
        <f t="array" ref="K77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776" spans="1:11" x14ac:dyDescent="0.35">
      <c r="A776" s="16" t="s">
        <v>50</v>
      </c>
      <c r="B776" t="s">
        <v>37</v>
      </c>
      <c r="C776" t="s">
        <v>39</v>
      </c>
      <c r="D776" t="s">
        <v>21</v>
      </c>
      <c r="E776" t="s">
        <v>27</v>
      </c>
      <c r="F776" t="s">
        <v>15</v>
      </c>
      <c r="G776">
        <v>4</v>
      </c>
      <c r="H776">
        <v>4</v>
      </c>
      <c r="I776">
        <v>0</v>
      </c>
      <c r="J776">
        <v>4.9000000000000004</v>
      </c>
      <c r="K776" t="str" cm="1">
        <f t="array" ref="K77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777" spans="1:11" x14ac:dyDescent="0.35">
      <c r="A777" s="16" t="s">
        <v>36</v>
      </c>
      <c r="B777" t="s">
        <v>16</v>
      </c>
      <c r="C777" t="s">
        <v>17</v>
      </c>
      <c r="D777" t="s">
        <v>13</v>
      </c>
      <c r="E777" t="s">
        <v>53</v>
      </c>
      <c r="F777" t="s">
        <v>15</v>
      </c>
      <c r="G777">
        <v>7</v>
      </c>
      <c r="H777">
        <v>6</v>
      </c>
      <c r="I777">
        <v>0</v>
      </c>
      <c r="J777">
        <v>4</v>
      </c>
      <c r="K777" t="str" cm="1">
        <f t="array" ref="K77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778" spans="1:11" x14ac:dyDescent="0.35">
      <c r="A778" s="16" t="s">
        <v>43</v>
      </c>
      <c r="B778" t="s">
        <v>37</v>
      </c>
      <c r="C778" t="s">
        <v>39</v>
      </c>
      <c r="D778" t="s">
        <v>26</v>
      </c>
      <c r="E778" t="s">
        <v>27</v>
      </c>
      <c r="F778" t="s">
        <v>19</v>
      </c>
      <c r="G778">
        <v>2</v>
      </c>
      <c r="H778">
        <v>1</v>
      </c>
      <c r="I778">
        <v>0</v>
      </c>
      <c r="J778">
        <v>2.7</v>
      </c>
      <c r="K778" t="str" cm="1">
        <f t="array" ref="K77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779" spans="1:11" x14ac:dyDescent="0.35">
      <c r="A779" s="16" t="s">
        <v>61</v>
      </c>
      <c r="B779" t="s">
        <v>24</v>
      </c>
      <c r="C779" t="s">
        <v>25</v>
      </c>
      <c r="D779" t="s">
        <v>13</v>
      </c>
      <c r="E779" t="s">
        <v>30</v>
      </c>
      <c r="F779" t="s">
        <v>15</v>
      </c>
      <c r="G779">
        <v>3</v>
      </c>
      <c r="H779">
        <v>2</v>
      </c>
      <c r="I779">
        <v>0</v>
      </c>
      <c r="J779">
        <v>2.1</v>
      </c>
      <c r="K779" t="str" cm="1">
        <f t="array" ref="K77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80" spans="1:11" x14ac:dyDescent="0.35">
      <c r="A780" s="16" t="s">
        <v>31</v>
      </c>
      <c r="B780" t="s">
        <v>37</v>
      </c>
      <c r="C780" t="s">
        <v>39</v>
      </c>
      <c r="D780" t="s">
        <v>40</v>
      </c>
      <c r="E780" t="s">
        <v>18</v>
      </c>
      <c r="F780" t="s">
        <v>15</v>
      </c>
      <c r="G780">
        <v>4</v>
      </c>
      <c r="H780">
        <v>4</v>
      </c>
      <c r="I780">
        <v>0</v>
      </c>
      <c r="J780">
        <v>2.8</v>
      </c>
      <c r="K780" t="str" cm="1">
        <f t="array" ref="K78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81" spans="1:11" x14ac:dyDescent="0.35">
      <c r="A781" s="16" t="s">
        <v>43</v>
      </c>
      <c r="B781" t="s">
        <v>16</v>
      </c>
      <c r="C781" t="s">
        <v>60</v>
      </c>
      <c r="D781" t="s">
        <v>13</v>
      </c>
      <c r="E781" t="s">
        <v>22</v>
      </c>
      <c r="F781" t="s">
        <v>19</v>
      </c>
      <c r="G781">
        <v>7</v>
      </c>
      <c r="H781">
        <v>6</v>
      </c>
      <c r="I781">
        <v>0</v>
      </c>
      <c r="J781">
        <v>4</v>
      </c>
      <c r="K781" t="str" cm="1">
        <f t="array" ref="K78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782" spans="1:11" x14ac:dyDescent="0.35">
      <c r="A782" s="16" t="s">
        <v>31</v>
      </c>
      <c r="B782" t="s">
        <v>48</v>
      </c>
      <c r="C782" t="s">
        <v>49</v>
      </c>
      <c r="D782" t="s">
        <v>32</v>
      </c>
      <c r="E782" t="s">
        <v>30</v>
      </c>
      <c r="F782" t="s">
        <v>19</v>
      </c>
      <c r="G782">
        <v>6</v>
      </c>
      <c r="H782">
        <v>6</v>
      </c>
      <c r="I782">
        <v>0</v>
      </c>
      <c r="J782">
        <v>2.9</v>
      </c>
      <c r="K782" t="str" cm="1">
        <f t="array" ref="K78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83" spans="1:11" x14ac:dyDescent="0.35">
      <c r="A783" s="16" t="s">
        <v>36</v>
      </c>
      <c r="B783" t="s">
        <v>24</v>
      </c>
      <c r="C783" t="s">
        <v>25</v>
      </c>
      <c r="D783" t="s">
        <v>32</v>
      </c>
      <c r="E783" t="s">
        <v>53</v>
      </c>
      <c r="F783" t="s">
        <v>19</v>
      </c>
      <c r="G783">
        <v>7</v>
      </c>
      <c r="H783">
        <v>7</v>
      </c>
      <c r="I783">
        <v>1</v>
      </c>
      <c r="J783">
        <v>3.2</v>
      </c>
      <c r="K783" t="str" cm="1">
        <f t="array" ref="K78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784" spans="1:11" x14ac:dyDescent="0.35">
      <c r="A784" s="16" t="s">
        <v>31</v>
      </c>
      <c r="B784" t="s">
        <v>56</v>
      </c>
      <c r="C784" t="s">
        <v>62</v>
      </c>
      <c r="D784" t="s">
        <v>22</v>
      </c>
      <c r="E784" t="s">
        <v>14</v>
      </c>
      <c r="F784" t="s">
        <v>19</v>
      </c>
      <c r="G784">
        <v>6</v>
      </c>
      <c r="H784">
        <v>6</v>
      </c>
      <c r="I784">
        <v>0</v>
      </c>
      <c r="J784">
        <v>2.7</v>
      </c>
      <c r="K784" t="str" cm="1">
        <f t="array" ref="K78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85" spans="1:11" x14ac:dyDescent="0.35">
      <c r="A785" s="16" t="s">
        <v>45</v>
      </c>
      <c r="B785" t="s">
        <v>16</v>
      </c>
      <c r="C785" t="s">
        <v>17</v>
      </c>
      <c r="D785" t="s">
        <v>32</v>
      </c>
      <c r="E785" t="s">
        <v>22</v>
      </c>
      <c r="F785" t="s">
        <v>19</v>
      </c>
      <c r="G785">
        <v>8</v>
      </c>
      <c r="H785">
        <v>8</v>
      </c>
      <c r="I785">
        <v>0</v>
      </c>
      <c r="J785">
        <v>3.2</v>
      </c>
      <c r="K785" t="str" cm="1">
        <f t="array" ref="K78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786" spans="1:11" x14ac:dyDescent="0.35">
      <c r="A786" s="16" t="s">
        <v>33</v>
      </c>
      <c r="B786" t="s">
        <v>11</v>
      </c>
      <c r="C786" t="s">
        <v>12</v>
      </c>
      <c r="D786" t="s">
        <v>22</v>
      </c>
      <c r="E786" t="s">
        <v>18</v>
      </c>
      <c r="F786" t="s">
        <v>15</v>
      </c>
      <c r="G786">
        <v>5</v>
      </c>
      <c r="H786">
        <v>5</v>
      </c>
      <c r="I786">
        <v>0</v>
      </c>
      <c r="J786">
        <v>2.7</v>
      </c>
      <c r="K786" t="str" cm="1">
        <f t="array" ref="K78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787" spans="1:11" x14ac:dyDescent="0.35">
      <c r="A787" s="16" t="s">
        <v>36</v>
      </c>
      <c r="B787" t="s">
        <v>28</v>
      </c>
      <c r="C787" t="s">
        <v>29</v>
      </c>
      <c r="D787" t="s">
        <v>26</v>
      </c>
      <c r="E787" t="s">
        <v>22</v>
      </c>
      <c r="F787" t="s">
        <v>15</v>
      </c>
      <c r="G787">
        <v>5</v>
      </c>
      <c r="H787">
        <v>5</v>
      </c>
      <c r="I787">
        <v>0</v>
      </c>
      <c r="J787">
        <v>3.9</v>
      </c>
      <c r="K787" t="str" cm="1">
        <f t="array" ref="K78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788" spans="1:11" x14ac:dyDescent="0.35">
      <c r="A788" s="16" t="s">
        <v>43</v>
      </c>
      <c r="B788" t="s">
        <v>46</v>
      </c>
      <c r="C788" t="s">
        <v>47</v>
      </c>
      <c r="D788" t="s">
        <v>22</v>
      </c>
      <c r="E788" t="s">
        <v>14</v>
      </c>
      <c r="F788" t="s">
        <v>19</v>
      </c>
      <c r="G788">
        <v>7</v>
      </c>
      <c r="H788">
        <v>6</v>
      </c>
      <c r="I788">
        <v>0</v>
      </c>
      <c r="J788">
        <v>4.3</v>
      </c>
      <c r="K788" t="str" cm="1">
        <f t="array" ref="K78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789" spans="1:11" x14ac:dyDescent="0.35">
      <c r="A789" s="16" t="s">
        <v>20</v>
      </c>
      <c r="B789" t="s">
        <v>48</v>
      </c>
      <c r="C789" t="s">
        <v>63</v>
      </c>
      <c r="D789" t="s">
        <v>32</v>
      </c>
      <c r="E789" t="s">
        <v>22</v>
      </c>
      <c r="F789" t="s">
        <v>19</v>
      </c>
      <c r="G789">
        <v>7</v>
      </c>
      <c r="H789">
        <v>7</v>
      </c>
      <c r="I789">
        <v>0</v>
      </c>
      <c r="J789">
        <v>-0.5</v>
      </c>
      <c r="K789" t="str" cm="1">
        <f t="array" ref="K78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790" spans="1:11" x14ac:dyDescent="0.35">
      <c r="A790" s="16" t="s">
        <v>55</v>
      </c>
      <c r="B790" t="s">
        <v>11</v>
      </c>
      <c r="C790" t="s">
        <v>12</v>
      </c>
      <c r="D790" t="s">
        <v>40</v>
      </c>
      <c r="E790" t="s">
        <v>27</v>
      </c>
      <c r="F790" t="s">
        <v>15</v>
      </c>
      <c r="G790">
        <v>3</v>
      </c>
      <c r="H790">
        <v>3</v>
      </c>
      <c r="I790">
        <v>0</v>
      </c>
      <c r="J790">
        <v>2.8</v>
      </c>
      <c r="K790" t="str" cm="1">
        <f t="array" ref="K79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791" spans="1:11" x14ac:dyDescent="0.35">
      <c r="A791" s="16" t="s">
        <v>31</v>
      </c>
      <c r="B791" t="s">
        <v>56</v>
      </c>
      <c r="C791" t="s">
        <v>57</v>
      </c>
      <c r="D791" t="s">
        <v>13</v>
      </c>
      <c r="E791" t="s">
        <v>53</v>
      </c>
      <c r="F791" t="s">
        <v>19</v>
      </c>
      <c r="G791">
        <v>3</v>
      </c>
      <c r="H791">
        <v>3</v>
      </c>
      <c r="I791">
        <v>0</v>
      </c>
      <c r="J791">
        <v>4.4000000000000004</v>
      </c>
      <c r="K791" t="str" cm="1">
        <f t="array" ref="K79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92" spans="1:11" x14ac:dyDescent="0.35">
      <c r="A792" s="16" t="s">
        <v>50</v>
      </c>
      <c r="B792" t="s">
        <v>48</v>
      </c>
      <c r="C792" t="s">
        <v>63</v>
      </c>
      <c r="D792" t="s">
        <v>22</v>
      </c>
      <c r="E792" t="s">
        <v>30</v>
      </c>
      <c r="F792" t="s">
        <v>15</v>
      </c>
      <c r="G792">
        <v>6</v>
      </c>
      <c r="H792">
        <v>4</v>
      </c>
      <c r="I792">
        <v>2</v>
      </c>
      <c r="J792">
        <v>2.9</v>
      </c>
      <c r="K792" t="str" cm="1">
        <f t="array" ref="K79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793" spans="1:11" x14ac:dyDescent="0.35">
      <c r="A793" s="16" t="s">
        <v>31</v>
      </c>
      <c r="B793" t="s">
        <v>11</v>
      </c>
      <c r="C793" t="s">
        <v>12</v>
      </c>
      <c r="D793" t="s">
        <v>13</v>
      </c>
      <c r="E793" t="s">
        <v>22</v>
      </c>
      <c r="F793" t="s">
        <v>19</v>
      </c>
      <c r="G793">
        <v>1</v>
      </c>
      <c r="H793">
        <v>1</v>
      </c>
      <c r="I793">
        <v>0</v>
      </c>
      <c r="J793">
        <v>3.6</v>
      </c>
      <c r="K793" t="str" cm="1">
        <f t="array" ref="K79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94" spans="1:11" x14ac:dyDescent="0.35">
      <c r="A794" s="16" t="s">
        <v>45</v>
      </c>
      <c r="B794" t="s">
        <v>48</v>
      </c>
      <c r="C794" t="s">
        <v>63</v>
      </c>
      <c r="D794" t="s">
        <v>13</v>
      </c>
      <c r="E794" t="s">
        <v>22</v>
      </c>
      <c r="F794" t="s">
        <v>19</v>
      </c>
      <c r="G794">
        <v>8</v>
      </c>
      <c r="H794">
        <v>7</v>
      </c>
      <c r="I794">
        <v>0</v>
      </c>
      <c r="J794">
        <v>3.1</v>
      </c>
      <c r="K794" t="str" cm="1">
        <f t="array" ref="K79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795" spans="1:11" x14ac:dyDescent="0.35">
      <c r="A795" s="16" t="s">
        <v>61</v>
      </c>
      <c r="B795" t="s">
        <v>46</v>
      </c>
      <c r="C795" t="s">
        <v>47</v>
      </c>
      <c r="D795" t="s">
        <v>21</v>
      </c>
      <c r="E795" t="s">
        <v>27</v>
      </c>
      <c r="F795" t="s">
        <v>15</v>
      </c>
      <c r="G795">
        <v>8</v>
      </c>
      <c r="H795">
        <v>8</v>
      </c>
      <c r="I795">
        <v>0</v>
      </c>
      <c r="J795">
        <v>2.7</v>
      </c>
      <c r="K795" t="str" cm="1">
        <f t="array" ref="K79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96" spans="1:11" x14ac:dyDescent="0.35">
      <c r="A796" s="16" t="s">
        <v>59</v>
      </c>
      <c r="B796" t="s">
        <v>24</v>
      </c>
      <c r="C796" t="s">
        <v>64</v>
      </c>
      <c r="D796" t="s">
        <v>32</v>
      </c>
      <c r="E796" t="s">
        <v>14</v>
      </c>
      <c r="F796" t="s">
        <v>19</v>
      </c>
      <c r="G796">
        <v>5</v>
      </c>
      <c r="H796">
        <v>4</v>
      </c>
      <c r="I796">
        <v>0</v>
      </c>
      <c r="J796">
        <v>2.6</v>
      </c>
      <c r="K796" t="str" cm="1">
        <f t="array" ref="K79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797" spans="1:11" x14ac:dyDescent="0.35">
      <c r="A797" s="16" t="s">
        <v>61</v>
      </c>
      <c r="B797" t="s">
        <v>34</v>
      </c>
      <c r="C797" t="s">
        <v>35</v>
      </c>
      <c r="D797" t="s">
        <v>26</v>
      </c>
      <c r="E797" t="s">
        <v>18</v>
      </c>
      <c r="F797" t="s">
        <v>19</v>
      </c>
      <c r="G797">
        <v>5</v>
      </c>
      <c r="H797">
        <v>5</v>
      </c>
      <c r="I797">
        <v>1</v>
      </c>
      <c r="J797">
        <v>1.8</v>
      </c>
      <c r="K797" t="str" cm="1">
        <f t="array" ref="K79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798" spans="1:11" x14ac:dyDescent="0.35">
      <c r="A798" s="16" t="s">
        <v>31</v>
      </c>
      <c r="B798" t="s">
        <v>37</v>
      </c>
      <c r="C798" t="s">
        <v>38</v>
      </c>
      <c r="D798" t="s">
        <v>22</v>
      </c>
      <c r="E798" t="s">
        <v>30</v>
      </c>
      <c r="F798" t="s">
        <v>15</v>
      </c>
      <c r="G798">
        <v>5</v>
      </c>
      <c r="H798">
        <v>5</v>
      </c>
      <c r="I798">
        <v>0</v>
      </c>
      <c r="J798">
        <v>3</v>
      </c>
      <c r="K798" t="str" cm="1">
        <f t="array" ref="K79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799" spans="1:11" x14ac:dyDescent="0.35">
      <c r="A799" s="16" t="s">
        <v>23</v>
      </c>
      <c r="B799" t="s">
        <v>37</v>
      </c>
      <c r="C799" t="s">
        <v>39</v>
      </c>
      <c r="D799" t="s">
        <v>32</v>
      </c>
      <c r="E799" t="s">
        <v>53</v>
      </c>
      <c r="F799" t="s">
        <v>15</v>
      </c>
      <c r="G799">
        <v>6</v>
      </c>
      <c r="H799">
        <v>6</v>
      </c>
      <c r="I799">
        <v>0</v>
      </c>
      <c r="J799">
        <v>1.5</v>
      </c>
      <c r="K799" t="str" cm="1">
        <f t="array" ref="K79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800" spans="1:11" x14ac:dyDescent="0.35">
      <c r="A800" s="16" t="s">
        <v>23</v>
      </c>
      <c r="B800" t="s">
        <v>41</v>
      </c>
      <c r="C800" t="s">
        <v>42</v>
      </c>
      <c r="D800" t="s">
        <v>22</v>
      </c>
      <c r="E800" t="s">
        <v>22</v>
      </c>
      <c r="F800" t="s">
        <v>15</v>
      </c>
      <c r="G800">
        <v>5</v>
      </c>
      <c r="H800">
        <v>5</v>
      </c>
      <c r="I800">
        <v>0</v>
      </c>
      <c r="J800">
        <v>4</v>
      </c>
      <c r="K800" t="str" cm="1">
        <f t="array" ref="K80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801" spans="1:11" x14ac:dyDescent="0.35">
      <c r="A801" s="16" t="s">
        <v>59</v>
      </c>
      <c r="B801" t="s">
        <v>34</v>
      </c>
      <c r="C801" t="s">
        <v>35</v>
      </c>
      <c r="D801" t="s">
        <v>13</v>
      </c>
      <c r="E801" t="s">
        <v>14</v>
      </c>
      <c r="F801" t="s">
        <v>15</v>
      </c>
      <c r="G801">
        <v>3</v>
      </c>
      <c r="H801">
        <v>3</v>
      </c>
      <c r="I801">
        <v>0</v>
      </c>
      <c r="J801">
        <v>2.2999999999999998</v>
      </c>
      <c r="K801" t="str" cm="1">
        <f t="array" ref="K80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802" spans="1:11" x14ac:dyDescent="0.35">
      <c r="A802" s="16" t="s">
        <v>50</v>
      </c>
      <c r="B802" t="s">
        <v>56</v>
      </c>
      <c r="C802" t="s">
        <v>62</v>
      </c>
      <c r="D802" t="s">
        <v>26</v>
      </c>
      <c r="E802" t="s">
        <v>18</v>
      </c>
      <c r="F802" t="s">
        <v>15</v>
      </c>
      <c r="G802">
        <v>5</v>
      </c>
      <c r="H802">
        <v>5</v>
      </c>
      <c r="I802">
        <v>0</v>
      </c>
      <c r="J802">
        <v>2.6</v>
      </c>
      <c r="K802" t="str" cm="1">
        <f t="array" ref="K80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03" spans="1:11" x14ac:dyDescent="0.35">
      <c r="A803" s="16" t="s">
        <v>31</v>
      </c>
      <c r="B803" t="s">
        <v>34</v>
      </c>
      <c r="C803" t="s">
        <v>35</v>
      </c>
      <c r="D803" t="s">
        <v>21</v>
      </c>
      <c r="E803" t="s">
        <v>22</v>
      </c>
      <c r="F803" t="s">
        <v>15</v>
      </c>
      <c r="G803">
        <v>3</v>
      </c>
      <c r="H803">
        <v>3</v>
      </c>
      <c r="I803">
        <v>0</v>
      </c>
      <c r="J803">
        <v>3.2</v>
      </c>
      <c r="K803" t="str" cm="1">
        <f t="array" ref="K80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04" spans="1:11" x14ac:dyDescent="0.35">
      <c r="A804" s="16" t="s">
        <v>50</v>
      </c>
      <c r="B804" t="s">
        <v>34</v>
      </c>
      <c r="C804" t="s">
        <v>51</v>
      </c>
      <c r="D804" t="s">
        <v>22</v>
      </c>
      <c r="E804" t="s">
        <v>18</v>
      </c>
      <c r="F804" t="s">
        <v>15</v>
      </c>
      <c r="G804">
        <v>5</v>
      </c>
      <c r="H804">
        <v>5</v>
      </c>
      <c r="I804">
        <v>0</v>
      </c>
      <c r="J804">
        <v>3.7</v>
      </c>
      <c r="K804" t="str" cm="1">
        <f t="array" ref="K80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05" spans="1:11" x14ac:dyDescent="0.35">
      <c r="A805" s="16" t="s">
        <v>33</v>
      </c>
      <c r="B805" t="s">
        <v>11</v>
      </c>
      <c r="C805" t="s">
        <v>12</v>
      </c>
      <c r="D805" t="s">
        <v>26</v>
      </c>
      <c r="E805" t="s">
        <v>14</v>
      </c>
      <c r="F805" t="s">
        <v>15</v>
      </c>
      <c r="G805">
        <v>6</v>
      </c>
      <c r="H805">
        <v>5</v>
      </c>
      <c r="I805">
        <v>1</v>
      </c>
      <c r="J805">
        <v>3.1</v>
      </c>
      <c r="K805" t="str" cm="1">
        <f t="array" ref="K80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806" spans="1:11" x14ac:dyDescent="0.35">
      <c r="A806" s="16" t="s">
        <v>20</v>
      </c>
      <c r="B806" t="s">
        <v>28</v>
      </c>
      <c r="C806" t="s">
        <v>29</v>
      </c>
      <c r="D806" t="s">
        <v>22</v>
      </c>
      <c r="E806" t="s">
        <v>14</v>
      </c>
      <c r="F806" t="s">
        <v>15</v>
      </c>
      <c r="G806">
        <v>3</v>
      </c>
      <c r="H806">
        <v>3</v>
      </c>
      <c r="I806">
        <v>0</v>
      </c>
      <c r="J806">
        <v>3.3</v>
      </c>
      <c r="K806" t="str" cm="1">
        <f t="array" ref="K80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07" spans="1:11" x14ac:dyDescent="0.35">
      <c r="A807" s="16" t="s">
        <v>33</v>
      </c>
      <c r="B807" t="s">
        <v>16</v>
      </c>
      <c r="C807" t="s">
        <v>17</v>
      </c>
      <c r="D807" t="s">
        <v>32</v>
      </c>
      <c r="E807" t="s">
        <v>18</v>
      </c>
      <c r="F807" t="s">
        <v>19</v>
      </c>
      <c r="G807">
        <v>8</v>
      </c>
      <c r="H807">
        <v>6</v>
      </c>
      <c r="I807">
        <v>1</v>
      </c>
      <c r="J807">
        <v>2.8</v>
      </c>
      <c r="K807" t="str" cm="1">
        <f t="array" ref="K80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808" spans="1:11" x14ac:dyDescent="0.35">
      <c r="A808" s="16" t="s">
        <v>59</v>
      </c>
      <c r="B808" t="s">
        <v>28</v>
      </c>
      <c r="C808" t="s">
        <v>29</v>
      </c>
      <c r="D808" t="s">
        <v>32</v>
      </c>
      <c r="E808" t="s">
        <v>18</v>
      </c>
      <c r="F808" t="s">
        <v>15</v>
      </c>
      <c r="G808">
        <v>3</v>
      </c>
      <c r="H808">
        <v>3</v>
      </c>
      <c r="I808">
        <v>0</v>
      </c>
      <c r="J808">
        <v>4.5999999999999996</v>
      </c>
      <c r="K808" t="str" cm="1">
        <f t="array" ref="K80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809" spans="1:11" x14ac:dyDescent="0.35">
      <c r="A809" s="16" t="s">
        <v>55</v>
      </c>
      <c r="B809" t="s">
        <v>56</v>
      </c>
      <c r="C809" t="s">
        <v>57</v>
      </c>
      <c r="D809" t="s">
        <v>22</v>
      </c>
      <c r="E809" t="s">
        <v>18</v>
      </c>
      <c r="F809" t="s">
        <v>19</v>
      </c>
      <c r="G809">
        <v>2</v>
      </c>
      <c r="H809">
        <v>1</v>
      </c>
      <c r="I809">
        <v>0</v>
      </c>
      <c r="J809">
        <v>1.3</v>
      </c>
      <c r="K809" t="str" cm="1">
        <f t="array" ref="K80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810" spans="1:11" x14ac:dyDescent="0.35">
      <c r="A810" s="16" t="s">
        <v>45</v>
      </c>
      <c r="B810" t="s">
        <v>41</v>
      </c>
      <c r="C810" t="s">
        <v>42</v>
      </c>
      <c r="D810" t="s">
        <v>13</v>
      </c>
      <c r="E810" t="s">
        <v>30</v>
      </c>
      <c r="F810" t="s">
        <v>15</v>
      </c>
      <c r="G810">
        <v>4</v>
      </c>
      <c r="H810">
        <v>4</v>
      </c>
      <c r="I810">
        <v>0</v>
      </c>
      <c r="J810">
        <v>1.2</v>
      </c>
      <c r="K810" t="str" cm="1">
        <f t="array" ref="K81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811" spans="1:11" x14ac:dyDescent="0.35">
      <c r="A811" s="16" t="s">
        <v>43</v>
      </c>
      <c r="B811" t="s">
        <v>34</v>
      </c>
      <c r="C811" t="s">
        <v>51</v>
      </c>
      <c r="D811" t="s">
        <v>32</v>
      </c>
      <c r="E811" t="s">
        <v>14</v>
      </c>
      <c r="F811" t="s">
        <v>19</v>
      </c>
      <c r="G811">
        <v>3</v>
      </c>
      <c r="H811">
        <v>3</v>
      </c>
      <c r="I811">
        <v>0</v>
      </c>
      <c r="J811">
        <v>3.3</v>
      </c>
      <c r="K811" t="str" cm="1">
        <f t="array" ref="K81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812" spans="1:11" x14ac:dyDescent="0.35">
      <c r="A812" s="16" t="s">
        <v>59</v>
      </c>
      <c r="B812" t="s">
        <v>16</v>
      </c>
      <c r="C812" t="s">
        <v>17</v>
      </c>
      <c r="D812" t="s">
        <v>21</v>
      </c>
      <c r="E812" t="s">
        <v>22</v>
      </c>
      <c r="F812" t="s">
        <v>19</v>
      </c>
      <c r="G812">
        <v>7</v>
      </c>
      <c r="H812">
        <v>6</v>
      </c>
      <c r="I812">
        <v>0</v>
      </c>
      <c r="J812">
        <v>1.4</v>
      </c>
      <c r="K812" t="str" cm="1">
        <f t="array" ref="K81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813" spans="1:11" x14ac:dyDescent="0.35">
      <c r="A813" s="16" t="s">
        <v>20</v>
      </c>
      <c r="B813" t="s">
        <v>48</v>
      </c>
      <c r="C813" t="s">
        <v>49</v>
      </c>
      <c r="D813" t="s">
        <v>32</v>
      </c>
      <c r="E813" t="s">
        <v>14</v>
      </c>
      <c r="F813" t="s">
        <v>19</v>
      </c>
      <c r="G813">
        <v>5</v>
      </c>
      <c r="H813">
        <v>4</v>
      </c>
      <c r="I813">
        <v>0</v>
      </c>
      <c r="J813">
        <v>2.6</v>
      </c>
      <c r="K813" t="str" cm="1">
        <f t="array" ref="K81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14" spans="1:11" x14ac:dyDescent="0.35">
      <c r="A814" s="16" t="s">
        <v>31</v>
      </c>
      <c r="B814" t="s">
        <v>34</v>
      </c>
      <c r="C814" t="s">
        <v>51</v>
      </c>
      <c r="D814" t="s">
        <v>40</v>
      </c>
      <c r="E814" t="s">
        <v>22</v>
      </c>
      <c r="F814" t="s">
        <v>19</v>
      </c>
      <c r="G814">
        <v>5</v>
      </c>
      <c r="H814">
        <v>5</v>
      </c>
      <c r="I814">
        <v>0</v>
      </c>
      <c r="J814">
        <v>1.8</v>
      </c>
      <c r="K814" t="str" cm="1">
        <f t="array" ref="K81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15" spans="1:11" x14ac:dyDescent="0.35">
      <c r="A815" s="16" t="s">
        <v>20</v>
      </c>
      <c r="B815" t="s">
        <v>46</v>
      </c>
      <c r="C815" t="s">
        <v>54</v>
      </c>
      <c r="D815" t="s">
        <v>21</v>
      </c>
      <c r="E815" t="s">
        <v>18</v>
      </c>
      <c r="F815" t="s">
        <v>19</v>
      </c>
      <c r="G815">
        <v>3</v>
      </c>
      <c r="H815">
        <v>2</v>
      </c>
      <c r="I815">
        <v>0</v>
      </c>
      <c r="J815">
        <v>4</v>
      </c>
      <c r="K815" t="str" cm="1">
        <f t="array" ref="K81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16" spans="1:11" x14ac:dyDescent="0.35">
      <c r="A816" s="16" t="s">
        <v>20</v>
      </c>
      <c r="B816" t="s">
        <v>48</v>
      </c>
      <c r="C816" t="s">
        <v>63</v>
      </c>
      <c r="D816" t="s">
        <v>13</v>
      </c>
      <c r="E816" t="s">
        <v>18</v>
      </c>
      <c r="F816" t="s">
        <v>19</v>
      </c>
      <c r="G816">
        <v>3</v>
      </c>
      <c r="H816">
        <v>3</v>
      </c>
      <c r="I816">
        <v>0</v>
      </c>
      <c r="J816">
        <v>1.6</v>
      </c>
      <c r="K816" t="str" cm="1">
        <f t="array" ref="K81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17" spans="1:11" x14ac:dyDescent="0.35">
      <c r="A817" s="16" t="s">
        <v>43</v>
      </c>
      <c r="B817" t="s">
        <v>48</v>
      </c>
      <c r="C817" t="s">
        <v>49</v>
      </c>
      <c r="D817" t="s">
        <v>22</v>
      </c>
      <c r="E817" t="s">
        <v>22</v>
      </c>
      <c r="F817" t="s">
        <v>15</v>
      </c>
      <c r="G817">
        <v>5</v>
      </c>
      <c r="H817">
        <v>5</v>
      </c>
      <c r="I817">
        <v>0</v>
      </c>
      <c r="J817">
        <v>4.2</v>
      </c>
      <c r="K817" t="str" cm="1">
        <f t="array" ref="K81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818" spans="1:11" x14ac:dyDescent="0.35">
      <c r="A818" s="16" t="s">
        <v>36</v>
      </c>
      <c r="B818" t="s">
        <v>41</v>
      </c>
      <c r="C818" t="s">
        <v>42</v>
      </c>
      <c r="D818" t="s">
        <v>26</v>
      </c>
      <c r="E818" t="s">
        <v>22</v>
      </c>
      <c r="F818" t="s">
        <v>19</v>
      </c>
      <c r="G818">
        <v>7</v>
      </c>
      <c r="H818">
        <v>7</v>
      </c>
      <c r="I818">
        <v>1</v>
      </c>
      <c r="J818">
        <v>1.6</v>
      </c>
      <c r="K818" t="str" cm="1">
        <f t="array" ref="K81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819" spans="1:11" x14ac:dyDescent="0.35">
      <c r="A819" s="16" t="s">
        <v>23</v>
      </c>
      <c r="B819" t="s">
        <v>48</v>
      </c>
      <c r="C819" t="s">
        <v>63</v>
      </c>
      <c r="D819" t="s">
        <v>40</v>
      </c>
      <c r="E819" t="s">
        <v>14</v>
      </c>
      <c r="F819" t="s">
        <v>15</v>
      </c>
      <c r="G819">
        <v>6</v>
      </c>
      <c r="H819">
        <v>5</v>
      </c>
      <c r="I819">
        <v>0</v>
      </c>
      <c r="J819">
        <v>1.6</v>
      </c>
      <c r="K819" t="str" cm="1">
        <f t="array" ref="K81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820" spans="1:11" x14ac:dyDescent="0.35">
      <c r="A820" s="16" t="s">
        <v>33</v>
      </c>
      <c r="B820" t="s">
        <v>24</v>
      </c>
      <c r="C820" t="s">
        <v>64</v>
      </c>
      <c r="D820" t="s">
        <v>32</v>
      </c>
      <c r="E820" t="s">
        <v>14</v>
      </c>
      <c r="F820" t="s">
        <v>15</v>
      </c>
      <c r="G820">
        <v>3</v>
      </c>
      <c r="H820">
        <v>2</v>
      </c>
      <c r="I820">
        <v>0</v>
      </c>
      <c r="J820">
        <v>2.1</v>
      </c>
      <c r="K820" t="str" cm="1">
        <f t="array" ref="K82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821" spans="1:11" x14ac:dyDescent="0.35">
      <c r="A821" s="16" t="s">
        <v>23</v>
      </c>
      <c r="B821" t="s">
        <v>48</v>
      </c>
      <c r="C821" t="s">
        <v>49</v>
      </c>
      <c r="D821" t="s">
        <v>40</v>
      </c>
      <c r="E821" t="s">
        <v>22</v>
      </c>
      <c r="F821" t="s">
        <v>19</v>
      </c>
      <c r="G821">
        <v>8</v>
      </c>
      <c r="H821">
        <v>8</v>
      </c>
      <c r="I821">
        <v>0</v>
      </c>
      <c r="J821">
        <v>2.6</v>
      </c>
      <c r="K821" t="str" cm="1">
        <f t="array" ref="K82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822" spans="1:11" x14ac:dyDescent="0.35">
      <c r="A822" s="16" t="s">
        <v>61</v>
      </c>
      <c r="B822" t="s">
        <v>24</v>
      </c>
      <c r="C822" t="s">
        <v>64</v>
      </c>
      <c r="D822" t="s">
        <v>13</v>
      </c>
      <c r="E822" t="s">
        <v>53</v>
      </c>
      <c r="F822" t="s">
        <v>15</v>
      </c>
      <c r="G822">
        <v>3</v>
      </c>
      <c r="H822">
        <v>2</v>
      </c>
      <c r="I822">
        <v>0</v>
      </c>
      <c r="J822">
        <v>3.5</v>
      </c>
      <c r="K822" t="str" cm="1">
        <f t="array" ref="K82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823" spans="1:11" x14ac:dyDescent="0.35">
      <c r="A823" s="16" t="s">
        <v>36</v>
      </c>
      <c r="B823" t="s">
        <v>34</v>
      </c>
      <c r="C823" t="s">
        <v>51</v>
      </c>
      <c r="D823" t="s">
        <v>32</v>
      </c>
      <c r="E823" t="s">
        <v>53</v>
      </c>
      <c r="F823" t="s">
        <v>15</v>
      </c>
      <c r="G823">
        <v>5</v>
      </c>
      <c r="H823">
        <v>5</v>
      </c>
      <c r="I823">
        <v>0</v>
      </c>
      <c r="J823">
        <v>5</v>
      </c>
      <c r="K823" t="str" cm="1">
        <f t="array" ref="K82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824" spans="1:11" x14ac:dyDescent="0.35">
      <c r="A824" s="16" t="s">
        <v>33</v>
      </c>
      <c r="B824" t="s">
        <v>56</v>
      </c>
      <c r="C824" t="s">
        <v>57</v>
      </c>
      <c r="D824" t="s">
        <v>21</v>
      </c>
      <c r="E824" t="s">
        <v>22</v>
      </c>
      <c r="F824" t="s">
        <v>19</v>
      </c>
      <c r="G824">
        <v>4</v>
      </c>
      <c r="H824">
        <v>4</v>
      </c>
      <c r="I824">
        <v>1</v>
      </c>
      <c r="J824">
        <v>2</v>
      </c>
      <c r="K824" t="str" cm="1">
        <f t="array" ref="K82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825" spans="1:11" x14ac:dyDescent="0.35">
      <c r="A825" s="16" t="s">
        <v>61</v>
      </c>
      <c r="B825" t="s">
        <v>28</v>
      </c>
      <c r="C825" t="s">
        <v>58</v>
      </c>
      <c r="D825" t="s">
        <v>26</v>
      </c>
      <c r="E825" t="s">
        <v>14</v>
      </c>
      <c r="F825" t="s">
        <v>15</v>
      </c>
      <c r="G825">
        <v>4</v>
      </c>
      <c r="H825">
        <v>3</v>
      </c>
      <c r="I825">
        <v>0</v>
      </c>
      <c r="J825">
        <v>2.2000000000000002</v>
      </c>
      <c r="K825" t="str" cm="1">
        <f t="array" ref="K82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826" spans="1:11" x14ac:dyDescent="0.35">
      <c r="A826" s="16" t="s">
        <v>36</v>
      </c>
      <c r="B826" t="s">
        <v>16</v>
      </c>
      <c r="C826" t="s">
        <v>17</v>
      </c>
      <c r="D826" t="s">
        <v>13</v>
      </c>
      <c r="E826" t="s">
        <v>53</v>
      </c>
      <c r="F826" t="s">
        <v>15</v>
      </c>
      <c r="G826">
        <v>5</v>
      </c>
      <c r="H826">
        <v>5</v>
      </c>
      <c r="I826">
        <v>0</v>
      </c>
      <c r="J826">
        <v>4.2</v>
      </c>
      <c r="K826" t="str" cm="1">
        <f t="array" ref="K82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827" spans="1:11" x14ac:dyDescent="0.35">
      <c r="A827" s="16" t="s">
        <v>50</v>
      </c>
      <c r="B827" t="s">
        <v>34</v>
      </c>
      <c r="C827" t="s">
        <v>51</v>
      </c>
      <c r="D827" t="s">
        <v>40</v>
      </c>
      <c r="E827" t="s">
        <v>14</v>
      </c>
      <c r="F827" t="s">
        <v>19</v>
      </c>
      <c r="G827">
        <v>5</v>
      </c>
      <c r="H827">
        <v>5</v>
      </c>
      <c r="I827">
        <v>0</v>
      </c>
      <c r="J827">
        <v>3</v>
      </c>
      <c r="K827" t="str" cm="1">
        <f t="array" ref="K82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28" spans="1:11" x14ac:dyDescent="0.35">
      <c r="A828" s="16" t="s">
        <v>61</v>
      </c>
      <c r="B828" t="s">
        <v>11</v>
      </c>
      <c r="C828" t="s">
        <v>12</v>
      </c>
      <c r="D828" t="s">
        <v>13</v>
      </c>
      <c r="E828" t="s">
        <v>18</v>
      </c>
      <c r="F828" t="s">
        <v>19</v>
      </c>
      <c r="G828">
        <v>3</v>
      </c>
      <c r="H828">
        <v>3</v>
      </c>
      <c r="I828">
        <v>0</v>
      </c>
      <c r="J828">
        <v>3.3</v>
      </c>
      <c r="K828" t="str" cm="1">
        <f t="array" ref="K82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829" spans="1:11" x14ac:dyDescent="0.35">
      <c r="A829" s="16" t="s">
        <v>31</v>
      </c>
      <c r="B829" t="s">
        <v>37</v>
      </c>
      <c r="C829" t="s">
        <v>39</v>
      </c>
      <c r="D829" t="s">
        <v>21</v>
      </c>
      <c r="E829" t="s">
        <v>30</v>
      </c>
      <c r="F829" t="s">
        <v>19</v>
      </c>
      <c r="G829">
        <v>5</v>
      </c>
      <c r="H829">
        <v>5</v>
      </c>
      <c r="I829">
        <v>0</v>
      </c>
      <c r="J829">
        <v>3.1</v>
      </c>
      <c r="K829" t="str" cm="1">
        <f t="array" ref="K82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30" spans="1:11" x14ac:dyDescent="0.35">
      <c r="A830" s="16" t="s">
        <v>31</v>
      </c>
      <c r="B830" t="s">
        <v>56</v>
      </c>
      <c r="C830" t="s">
        <v>62</v>
      </c>
      <c r="D830" t="s">
        <v>22</v>
      </c>
      <c r="E830" t="s">
        <v>14</v>
      </c>
      <c r="F830" t="s">
        <v>19</v>
      </c>
      <c r="G830">
        <v>8</v>
      </c>
      <c r="H830">
        <v>6</v>
      </c>
      <c r="I830">
        <v>0</v>
      </c>
      <c r="J830">
        <v>3.7</v>
      </c>
      <c r="K830" t="str" cm="1">
        <f t="array" ref="K83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31" spans="1:11" x14ac:dyDescent="0.35">
      <c r="A831" s="16" t="s">
        <v>50</v>
      </c>
      <c r="B831" t="s">
        <v>46</v>
      </c>
      <c r="C831" t="s">
        <v>54</v>
      </c>
      <c r="D831" t="s">
        <v>32</v>
      </c>
      <c r="E831" t="s">
        <v>14</v>
      </c>
      <c r="F831" t="s">
        <v>19</v>
      </c>
      <c r="G831">
        <v>2</v>
      </c>
      <c r="H831">
        <v>2</v>
      </c>
      <c r="I831">
        <v>0</v>
      </c>
      <c r="J831">
        <v>0.8</v>
      </c>
      <c r="K831" t="str" cm="1">
        <f t="array" ref="K83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32" spans="1:11" x14ac:dyDescent="0.35">
      <c r="A832" s="16" t="s">
        <v>50</v>
      </c>
      <c r="B832" t="s">
        <v>28</v>
      </c>
      <c r="C832" t="s">
        <v>58</v>
      </c>
      <c r="D832" t="s">
        <v>26</v>
      </c>
      <c r="E832" t="s">
        <v>18</v>
      </c>
      <c r="F832" t="s">
        <v>19</v>
      </c>
      <c r="G832">
        <v>5</v>
      </c>
      <c r="H832">
        <v>5</v>
      </c>
      <c r="I832">
        <v>0</v>
      </c>
      <c r="J832">
        <v>2.2000000000000002</v>
      </c>
      <c r="K832" t="str" cm="1">
        <f t="array" ref="K83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33" spans="1:11" x14ac:dyDescent="0.35">
      <c r="A833" s="16" t="s">
        <v>45</v>
      </c>
      <c r="B833" t="s">
        <v>46</v>
      </c>
      <c r="C833" t="s">
        <v>47</v>
      </c>
      <c r="D833" t="s">
        <v>22</v>
      </c>
      <c r="E833" t="s">
        <v>27</v>
      </c>
      <c r="F833" t="s">
        <v>19</v>
      </c>
      <c r="G833">
        <v>3</v>
      </c>
      <c r="H833">
        <v>2</v>
      </c>
      <c r="I833">
        <v>0</v>
      </c>
      <c r="J833">
        <v>4.8</v>
      </c>
      <c r="K833" t="str" cm="1">
        <f t="array" ref="K83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834" spans="1:11" x14ac:dyDescent="0.35">
      <c r="A834" s="16" t="s">
        <v>61</v>
      </c>
      <c r="B834" t="s">
        <v>28</v>
      </c>
      <c r="C834" t="s">
        <v>29</v>
      </c>
      <c r="D834" t="s">
        <v>40</v>
      </c>
      <c r="E834" t="s">
        <v>53</v>
      </c>
      <c r="F834" t="s">
        <v>15</v>
      </c>
      <c r="G834">
        <v>4</v>
      </c>
      <c r="H834">
        <v>1</v>
      </c>
      <c r="I834">
        <v>0</v>
      </c>
      <c r="J834">
        <v>2</v>
      </c>
      <c r="K834" t="str" cm="1">
        <f t="array" ref="K83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835" spans="1:11" x14ac:dyDescent="0.35">
      <c r="A835" s="16" t="s">
        <v>20</v>
      </c>
      <c r="B835" t="s">
        <v>11</v>
      </c>
      <c r="C835" t="s">
        <v>52</v>
      </c>
      <c r="D835" t="s">
        <v>21</v>
      </c>
      <c r="E835" t="s">
        <v>30</v>
      </c>
      <c r="F835" t="s">
        <v>19</v>
      </c>
      <c r="G835">
        <v>6</v>
      </c>
      <c r="H835">
        <v>6</v>
      </c>
      <c r="I835">
        <v>0</v>
      </c>
      <c r="J835">
        <v>3.5</v>
      </c>
      <c r="K835" t="str" cm="1">
        <f t="array" ref="K83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36" spans="1:11" x14ac:dyDescent="0.35">
      <c r="A836" s="16" t="s">
        <v>43</v>
      </c>
      <c r="B836" t="s">
        <v>11</v>
      </c>
      <c r="C836" t="s">
        <v>12</v>
      </c>
      <c r="D836" t="s">
        <v>21</v>
      </c>
      <c r="E836" t="s">
        <v>18</v>
      </c>
      <c r="F836" t="s">
        <v>15</v>
      </c>
      <c r="G836">
        <v>5</v>
      </c>
      <c r="H836">
        <v>4</v>
      </c>
      <c r="I836">
        <v>1</v>
      </c>
      <c r="J836">
        <v>4.0999999999999996</v>
      </c>
      <c r="K836" t="str" cm="1">
        <f t="array" ref="K83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837" spans="1:11" x14ac:dyDescent="0.35">
      <c r="A837" s="16" t="s">
        <v>61</v>
      </c>
      <c r="B837" t="s">
        <v>24</v>
      </c>
      <c r="C837" t="s">
        <v>64</v>
      </c>
      <c r="D837" t="s">
        <v>22</v>
      </c>
      <c r="E837" t="s">
        <v>27</v>
      </c>
      <c r="F837" t="s">
        <v>15</v>
      </c>
      <c r="G837">
        <v>8</v>
      </c>
      <c r="H837">
        <v>7</v>
      </c>
      <c r="I837">
        <v>0</v>
      </c>
      <c r="J837">
        <v>2.8</v>
      </c>
      <c r="K837" t="str" cm="1">
        <f t="array" ref="K83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838" spans="1:11" x14ac:dyDescent="0.35">
      <c r="A838" s="16" t="s">
        <v>23</v>
      </c>
      <c r="B838" t="s">
        <v>16</v>
      </c>
      <c r="C838" t="s">
        <v>60</v>
      </c>
      <c r="D838" t="s">
        <v>40</v>
      </c>
      <c r="E838" t="s">
        <v>14</v>
      </c>
      <c r="F838" t="s">
        <v>19</v>
      </c>
      <c r="G838">
        <v>4</v>
      </c>
      <c r="H838">
        <v>4</v>
      </c>
      <c r="I838">
        <v>0</v>
      </c>
      <c r="J838">
        <v>3</v>
      </c>
      <c r="K838" t="str" cm="1">
        <f t="array" ref="K83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839" spans="1:11" x14ac:dyDescent="0.35">
      <c r="A839" s="16" t="s">
        <v>55</v>
      </c>
      <c r="B839" t="s">
        <v>37</v>
      </c>
      <c r="C839" t="s">
        <v>39</v>
      </c>
      <c r="D839" t="s">
        <v>21</v>
      </c>
      <c r="E839" t="s">
        <v>14</v>
      </c>
      <c r="F839" t="s">
        <v>19</v>
      </c>
      <c r="G839">
        <v>3</v>
      </c>
      <c r="H839">
        <v>3</v>
      </c>
      <c r="I839">
        <v>0</v>
      </c>
      <c r="J839">
        <v>2.6</v>
      </c>
      <c r="K839" t="str" cm="1">
        <f t="array" ref="K83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840" spans="1:11" x14ac:dyDescent="0.35">
      <c r="A840" s="16" t="s">
        <v>31</v>
      </c>
      <c r="B840" t="s">
        <v>28</v>
      </c>
      <c r="C840" t="s">
        <v>29</v>
      </c>
      <c r="D840" t="s">
        <v>40</v>
      </c>
      <c r="E840" t="s">
        <v>18</v>
      </c>
      <c r="F840" t="s">
        <v>19</v>
      </c>
      <c r="G840">
        <v>3</v>
      </c>
      <c r="H840">
        <v>3</v>
      </c>
      <c r="I840">
        <v>0</v>
      </c>
      <c r="J840">
        <v>3.6</v>
      </c>
      <c r="K840" t="str" cm="1">
        <f t="array" ref="K84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41" spans="1:11" x14ac:dyDescent="0.35">
      <c r="A841" s="16" t="s">
        <v>50</v>
      </c>
      <c r="B841" t="s">
        <v>56</v>
      </c>
      <c r="C841" t="s">
        <v>62</v>
      </c>
      <c r="D841" t="s">
        <v>32</v>
      </c>
      <c r="E841" t="s">
        <v>22</v>
      </c>
      <c r="F841" t="s">
        <v>19</v>
      </c>
      <c r="G841">
        <v>5</v>
      </c>
      <c r="H841">
        <v>4</v>
      </c>
      <c r="I841">
        <v>1</v>
      </c>
      <c r="J841">
        <v>3.7</v>
      </c>
      <c r="K841" t="str" cm="1">
        <f t="array" ref="K84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42" spans="1:11" x14ac:dyDescent="0.35">
      <c r="A842" s="16" t="s">
        <v>50</v>
      </c>
      <c r="B842" t="s">
        <v>28</v>
      </c>
      <c r="C842" t="s">
        <v>58</v>
      </c>
      <c r="D842" t="s">
        <v>13</v>
      </c>
      <c r="E842" t="s">
        <v>30</v>
      </c>
      <c r="F842" t="s">
        <v>19</v>
      </c>
      <c r="G842">
        <v>6</v>
      </c>
      <c r="H842">
        <v>5</v>
      </c>
      <c r="I842">
        <v>0</v>
      </c>
      <c r="J842">
        <v>3.1</v>
      </c>
      <c r="K842" t="str" cm="1">
        <f t="array" ref="K84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43" spans="1:11" x14ac:dyDescent="0.35">
      <c r="A843" s="16" t="s">
        <v>59</v>
      </c>
      <c r="B843" t="s">
        <v>34</v>
      </c>
      <c r="C843" t="s">
        <v>35</v>
      </c>
      <c r="D843" t="s">
        <v>40</v>
      </c>
      <c r="E843" t="s">
        <v>53</v>
      </c>
      <c r="F843" t="s">
        <v>19</v>
      </c>
      <c r="G843">
        <v>5</v>
      </c>
      <c r="H843">
        <v>3</v>
      </c>
      <c r="I843">
        <v>0</v>
      </c>
      <c r="J843">
        <v>4</v>
      </c>
      <c r="K843" t="str" cm="1">
        <f t="array" ref="K84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844" spans="1:11" x14ac:dyDescent="0.35">
      <c r="A844" s="16" t="s">
        <v>31</v>
      </c>
      <c r="B844" t="s">
        <v>16</v>
      </c>
      <c r="C844" t="s">
        <v>60</v>
      </c>
      <c r="D844" t="s">
        <v>32</v>
      </c>
      <c r="E844" t="s">
        <v>18</v>
      </c>
      <c r="F844" t="s">
        <v>19</v>
      </c>
      <c r="G844">
        <v>5</v>
      </c>
      <c r="H844">
        <v>5</v>
      </c>
      <c r="I844">
        <v>1</v>
      </c>
      <c r="J844">
        <v>3.6</v>
      </c>
      <c r="K844" t="str" cm="1">
        <f t="array" ref="K84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45" spans="1:11" x14ac:dyDescent="0.35">
      <c r="A845" s="16" t="s">
        <v>55</v>
      </c>
      <c r="B845" t="s">
        <v>37</v>
      </c>
      <c r="C845" t="s">
        <v>38</v>
      </c>
      <c r="D845" t="s">
        <v>32</v>
      </c>
      <c r="E845" t="s">
        <v>14</v>
      </c>
      <c r="F845" t="s">
        <v>15</v>
      </c>
      <c r="G845">
        <v>9</v>
      </c>
      <c r="H845">
        <v>9</v>
      </c>
      <c r="I845">
        <v>0</v>
      </c>
      <c r="J845">
        <v>1.5</v>
      </c>
      <c r="K845" t="str" cm="1">
        <f t="array" ref="K84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846" spans="1:11" x14ac:dyDescent="0.35">
      <c r="A846" s="16" t="s">
        <v>10</v>
      </c>
      <c r="B846" t="s">
        <v>16</v>
      </c>
      <c r="C846" t="s">
        <v>17</v>
      </c>
      <c r="D846" t="s">
        <v>21</v>
      </c>
      <c r="E846" t="s">
        <v>27</v>
      </c>
      <c r="F846" t="s">
        <v>15</v>
      </c>
      <c r="G846">
        <v>4</v>
      </c>
      <c r="H846">
        <v>4</v>
      </c>
      <c r="I846">
        <v>0</v>
      </c>
      <c r="J846">
        <v>2.2000000000000002</v>
      </c>
      <c r="K846" t="str" cm="1">
        <f t="array" ref="K84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847" spans="1:11" x14ac:dyDescent="0.35">
      <c r="A847" s="16" t="s">
        <v>10</v>
      </c>
      <c r="B847" t="s">
        <v>37</v>
      </c>
      <c r="C847" t="s">
        <v>39</v>
      </c>
      <c r="D847" t="s">
        <v>32</v>
      </c>
      <c r="E847" t="s">
        <v>14</v>
      </c>
      <c r="F847" t="s">
        <v>19</v>
      </c>
      <c r="G847">
        <v>7</v>
      </c>
      <c r="H847">
        <v>6</v>
      </c>
      <c r="I847">
        <v>1</v>
      </c>
      <c r="J847">
        <v>2.9</v>
      </c>
      <c r="K847" t="str" cm="1">
        <f t="array" ref="K84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848" spans="1:11" x14ac:dyDescent="0.35">
      <c r="A848" s="16" t="s">
        <v>33</v>
      </c>
      <c r="B848" t="s">
        <v>46</v>
      </c>
      <c r="C848" t="s">
        <v>54</v>
      </c>
      <c r="D848" t="s">
        <v>21</v>
      </c>
      <c r="E848" t="s">
        <v>53</v>
      </c>
      <c r="F848" t="s">
        <v>15</v>
      </c>
      <c r="G848">
        <v>2</v>
      </c>
      <c r="H848">
        <v>1</v>
      </c>
      <c r="I848">
        <v>0</v>
      </c>
      <c r="J848">
        <v>1.9</v>
      </c>
      <c r="K848" t="str" cm="1">
        <f t="array" ref="K84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849" spans="1:11" x14ac:dyDescent="0.35">
      <c r="A849" s="16" t="s">
        <v>50</v>
      </c>
      <c r="B849" t="s">
        <v>41</v>
      </c>
      <c r="C849" t="s">
        <v>44</v>
      </c>
      <c r="D849" t="s">
        <v>26</v>
      </c>
      <c r="E849" t="s">
        <v>18</v>
      </c>
      <c r="F849" t="s">
        <v>19</v>
      </c>
      <c r="G849">
        <v>0</v>
      </c>
      <c r="H849">
        <v>0</v>
      </c>
      <c r="I849">
        <v>0</v>
      </c>
      <c r="J849">
        <v>3.1</v>
      </c>
      <c r="K849" t="str" cm="1">
        <f t="array" ref="K84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50" spans="1:11" x14ac:dyDescent="0.35">
      <c r="A850" s="16" t="s">
        <v>20</v>
      </c>
      <c r="B850" t="s">
        <v>37</v>
      </c>
      <c r="C850" t="s">
        <v>39</v>
      </c>
      <c r="D850" t="s">
        <v>21</v>
      </c>
      <c r="E850" t="s">
        <v>14</v>
      </c>
      <c r="F850" t="s">
        <v>19</v>
      </c>
      <c r="G850">
        <v>4</v>
      </c>
      <c r="H850">
        <v>4</v>
      </c>
      <c r="I850">
        <v>0</v>
      </c>
      <c r="J850">
        <v>2.1</v>
      </c>
      <c r="K850" t="str" cm="1">
        <f t="array" ref="K85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51" spans="1:11" x14ac:dyDescent="0.35">
      <c r="A851" s="16" t="s">
        <v>31</v>
      </c>
      <c r="B851" t="s">
        <v>16</v>
      </c>
      <c r="C851" t="s">
        <v>60</v>
      </c>
      <c r="D851" t="s">
        <v>22</v>
      </c>
      <c r="E851" t="s">
        <v>14</v>
      </c>
      <c r="F851" t="s">
        <v>15</v>
      </c>
      <c r="G851">
        <v>6</v>
      </c>
      <c r="H851">
        <v>5</v>
      </c>
      <c r="I851">
        <v>0</v>
      </c>
      <c r="J851">
        <v>4.0999999999999996</v>
      </c>
      <c r="K851" t="str" cm="1">
        <f t="array" ref="K85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52" spans="1:11" x14ac:dyDescent="0.35">
      <c r="A852" s="16" t="s">
        <v>50</v>
      </c>
      <c r="B852" t="s">
        <v>11</v>
      </c>
      <c r="C852" t="s">
        <v>12</v>
      </c>
      <c r="D852" t="s">
        <v>32</v>
      </c>
      <c r="E852" t="s">
        <v>22</v>
      </c>
      <c r="F852" t="s">
        <v>15</v>
      </c>
      <c r="G852">
        <v>6</v>
      </c>
      <c r="H852">
        <v>5</v>
      </c>
      <c r="I852">
        <v>0</v>
      </c>
      <c r="J852">
        <v>4.5</v>
      </c>
      <c r="K852" t="str" cm="1">
        <f t="array" ref="K85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53" spans="1:11" x14ac:dyDescent="0.35">
      <c r="A853" s="16" t="s">
        <v>36</v>
      </c>
      <c r="B853" t="s">
        <v>46</v>
      </c>
      <c r="C853" t="s">
        <v>47</v>
      </c>
      <c r="D853" t="s">
        <v>22</v>
      </c>
      <c r="E853" t="s">
        <v>30</v>
      </c>
      <c r="F853" t="s">
        <v>19</v>
      </c>
      <c r="G853">
        <v>4</v>
      </c>
      <c r="H853">
        <v>3</v>
      </c>
      <c r="I853">
        <v>0</v>
      </c>
      <c r="J853">
        <v>2.2000000000000002</v>
      </c>
      <c r="K853" t="str" cm="1">
        <f t="array" ref="K85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854" spans="1:11" x14ac:dyDescent="0.35">
      <c r="A854" s="16" t="s">
        <v>45</v>
      </c>
      <c r="B854" t="s">
        <v>28</v>
      </c>
      <c r="C854" t="s">
        <v>58</v>
      </c>
      <c r="D854" t="s">
        <v>40</v>
      </c>
      <c r="E854" t="s">
        <v>22</v>
      </c>
      <c r="F854" t="s">
        <v>19</v>
      </c>
      <c r="G854">
        <v>4</v>
      </c>
      <c r="H854">
        <v>4</v>
      </c>
      <c r="I854">
        <v>0</v>
      </c>
      <c r="J854">
        <v>3</v>
      </c>
      <c r="K854" t="str" cm="1">
        <f t="array" ref="K85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855" spans="1:11" x14ac:dyDescent="0.35">
      <c r="A855" s="16" t="s">
        <v>31</v>
      </c>
      <c r="B855" t="s">
        <v>24</v>
      </c>
      <c r="C855" t="s">
        <v>64</v>
      </c>
      <c r="D855" t="s">
        <v>40</v>
      </c>
      <c r="E855" t="s">
        <v>27</v>
      </c>
      <c r="F855" t="s">
        <v>15</v>
      </c>
      <c r="G855">
        <v>3</v>
      </c>
      <c r="H855">
        <v>2</v>
      </c>
      <c r="I855">
        <v>0</v>
      </c>
      <c r="J855">
        <v>4</v>
      </c>
      <c r="K855" t="str" cm="1">
        <f t="array" ref="K85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56" spans="1:11" x14ac:dyDescent="0.35">
      <c r="A856" s="16" t="s">
        <v>36</v>
      </c>
      <c r="B856" t="s">
        <v>16</v>
      </c>
      <c r="C856" t="s">
        <v>60</v>
      </c>
      <c r="D856" t="s">
        <v>13</v>
      </c>
      <c r="E856" t="s">
        <v>30</v>
      </c>
      <c r="F856" t="s">
        <v>19</v>
      </c>
      <c r="G856">
        <v>3</v>
      </c>
      <c r="H856">
        <v>3</v>
      </c>
      <c r="I856">
        <v>0</v>
      </c>
      <c r="J856">
        <v>4.9000000000000004</v>
      </c>
      <c r="K856" t="str" cm="1">
        <f t="array" ref="K85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857" spans="1:11" x14ac:dyDescent="0.35">
      <c r="A857" s="16" t="s">
        <v>31</v>
      </c>
      <c r="B857" t="s">
        <v>48</v>
      </c>
      <c r="C857" t="s">
        <v>63</v>
      </c>
      <c r="D857" t="s">
        <v>26</v>
      </c>
      <c r="E857" t="s">
        <v>30</v>
      </c>
      <c r="F857" t="s">
        <v>19</v>
      </c>
      <c r="G857">
        <v>1</v>
      </c>
      <c r="H857">
        <v>0</v>
      </c>
      <c r="I857">
        <v>0</v>
      </c>
      <c r="J857">
        <v>2.1</v>
      </c>
      <c r="K857" t="str" cm="1">
        <f t="array" ref="K85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58" spans="1:11" x14ac:dyDescent="0.35">
      <c r="A858" s="16" t="s">
        <v>55</v>
      </c>
      <c r="B858" t="s">
        <v>46</v>
      </c>
      <c r="C858" t="s">
        <v>47</v>
      </c>
      <c r="D858" t="s">
        <v>21</v>
      </c>
      <c r="E858" t="s">
        <v>30</v>
      </c>
      <c r="F858" t="s">
        <v>19</v>
      </c>
      <c r="G858">
        <v>2</v>
      </c>
      <c r="H858">
        <v>2</v>
      </c>
      <c r="I858">
        <v>1</v>
      </c>
      <c r="J858">
        <v>2.2999999999999998</v>
      </c>
      <c r="K858" t="str" cm="1">
        <f t="array" ref="K85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859" spans="1:11" x14ac:dyDescent="0.35">
      <c r="A859" s="16" t="s">
        <v>55</v>
      </c>
      <c r="B859" t="s">
        <v>28</v>
      </c>
      <c r="C859" t="s">
        <v>58</v>
      </c>
      <c r="D859" t="s">
        <v>22</v>
      </c>
      <c r="E859" t="s">
        <v>22</v>
      </c>
      <c r="F859" t="s">
        <v>19</v>
      </c>
      <c r="G859">
        <v>4</v>
      </c>
      <c r="H859">
        <v>4</v>
      </c>
      <c r="I859">
        <v>0</v>
      </c>
      <c r="J859">
        <v>2.7</v>
      </c>
      <c r="K859" t="str" cm="1">
        <f t="array" ref="K85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860" spans="1:11" x14ac:dyDescent="0.35">
      <c r="A860" s="16" t="s">
        <v>59</v>
      </c>
      <c r="B860" t="s">
        <v>41</v>
      </c>
      <c r="C860" t="s">
        <v>42</v>
      </c>
      <c r="D860" t="s">
        <v>22</v>
      </c>
      <c r="E860" t="s">
        <v>22</v>
      </c>
      <c r="F860" t="s">
        <v>15</v>
      </c>
      <c r="G860">
        <v>3</v>
      </c>
      <c r="H860">
        <v>3</v>
      </c>
      <c r="I860">
        <v>1</v>
      </c>
      <c r="J860">
        <v>3.1</v>
      </c>
      <c r="K860" t="str" cm="1">
        <f t="array" ref="K86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861" spans="1:11" x14ac:dyDescent="0.35">
      <c r="A861" s="16" t="s">
        <v>10</v>
      </c>
      <c r="B861" t="s">
        <v>37</v>
      </c>
      <c r="C861" t="s">
        <v>38</v>
      </c>
      <c r="D861" t="s">
        <v>13</v>
      </c>
      <c r="E861" t="s">
        <v>30</v>
      </c>
      <c r="F861" t="s">
        <v>19</v>
      </c>
      <c r="G861">
        <v>7</v>
      </c>
      <c r="H861">
        <v>6</v>
      </c>
      <c r="I861">
        <v>0</v>
      </c>
      <c r="J861">
        <v>3.9</v>
      </c>
      <c r="K861" t="str" cm="1">
        <f t="array" ref="K86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862" spans="1:11" x14ac:dyDescent="0.35">
      <c r="A862" s="16" t="s">
        <v>55</v>
      </c>
      <c r="B862" t="s">
        <v>41</v>
      </c>
      <c r="C862" t="s">
        <v>42</v>
      </c>
      <c r="D862" t="s">
        <v>40</v>
      </c>
      <c r="E862" t="s">
        <v>53</v>
      </c>
      <c r="F862" t="s">
        <v>15</v>
      </c>
      <c r="G862">
        <v>4</v>
      </c>
      <c r="H862">
        <v>4</v>
      </c>
      <c r="I862">
        <v>0</v>
      </c>
      <c r="J862">
        <v>2.1</v>
      </c>
      <c r="K862" t="str" cm="1">
        <f t="array" ref="K86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863" spans="1:11" x14ac:dyDescent="0.35">
      <c r="A863" s="16" t="s">
        <v>33</v>
      </c>
      <c r="B863" t="s">
        <v>41</v>
      </c>
      <c r="C863" t="s">
        <v>42</v>
      </c>
      <c r="D863" t="s">
        <v>13</v>
      </c>
      <c r="E863" t="s">
        <v>22</v>
      </c>
      <c r="F863" t="s">
        <v>19</v>
      </c>
      <c r="G863">
        <v>5</v>
      </c>
      <c r="H863">
        <v>4</v>
      </c>
      <c r="I863">
        <v>1</v>
      </c>
      <c r="J863">
        <v>4.5</v>
      </c>
      <c r="K863" t="str" cm="1">
        <f t="array" ref="K86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864" spans="1:11" x14ac:dyDescent="0.35">
      <c r="A864" s="16" t="s">
        <v>45</v>
      </c>
      <c r="B864" t="s">
        <v>11</v>
      </c>
      <c r="C864" t="s">
        <v>52</v>
      </c>
      <c r="D864" t="s">
        <v>32</v>
      </c>
      <c r="E864" t="s">
        <v>30</v>
      </c>
      <c r="F864" t="s">
        <v>19</v>
      </c>
      <c r="G864">
        <v>2</v>
      </c>
      <c r="H864">
        <v>2</v>
      </c>
      <c r="I864">
        <v>0</v>
      </c>
      <c r="J864">
        <v>2.2999999999999998</v>
      </c>
      <c r="K864" t="str" cm="1">
        <f t="array" ref="K86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865" spans="1:11" x14ac:dyDescent="0.35">
      <c r="A865" s="16" t="s">
        <v>20</v>
      </c>
      <c r="B865" t="s">
        <v>11</v>
      </c>
      <c r="C865" t="s">
        <v>52</v>
      </c>
      <c r="D865" t="s">
        <v>32</v>
      </c>
      <c r="E865" t="s">
        <v>30</v>
      </c>
      <c r="F865" t="s">
        <v>19</v>
      </c>
      <c r="G865">
        <v>4</v>
      </c>
      <c r="H865">
        <v>4</v>
      </c>
      <c r="I865">
        <v>0</v>
      </c>
      <c r="J865">
        <v>4</v>
      </c>
      <c r="K865" t="str" cm="1">
        <f t="array" ref="K86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66" spans="1:11" x14ac:dyDescent="0.35">
      <c r="A866" s="16" t="s">
        <v>43</v>
      </c>
      <c r="B866" t="s">
        <v>37</v>
      </c>
      <c r="C866" t="s">
        <v>38</v>
      </c>
      <c r="D866" t="s">
        <v>13</v>
      </c>
      <c r="E866" t="s">
        <v>30</v>
      </c>
      <c r="F866" t="s">
        <v>15</v>
      </c>
      <c r="G866">
        <v>1</v>
      </c>
      <c r="H866">
        <v>1</v>
      </c>
      <c r="I866">
        <v>0</v>
      </c>
      <c r="J866">
        <v>1.7</v>
      </c>
      <c r="K866" t="str" cm="1">
        <f t="array" ref="K86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867" spans="1:11" x14ac:dyDescent="0.35">
      <c r="A867" s="16" t="s">
        <v>31</v>
      </c>
      <c r="B867" t="s">
        <v>24</v>
      </c>
      <c r="C867" t="s">
        <v>64</v>
      </c>
      <c r="D867" t="s">
        <v>26</v>
      </c>
      <c r="E867" t="s">
        <v>22</v>
      </c>
      <c r="F867" t="s">
        <v>19</v>
      </c>
      <c r="G867">
        <v>2</v>
      </c>
      <c r="H867">
        <v>1</v>
      </c>
      <c r="I867">
        <v>0</v>
      </c>
      <c r="J867">
        <v>1.6</v>
      </c>
      <c r="K867" t="str" cm="1">
        <f t="array" ref="K86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68" spans="1:11" x14ac:dyDescent="0.35">
      <c r="A868" s="16" t="s">
        <v>23</v>
      </c>
      <c r="B868" t="s">
        <v>37</v>
      </c>
      <c r="C868" t="s">
        <v>39</v>
      </c>
      <c r="D868" t="s">
        <v>21</v>
      </c>
      <c r="E868" t="s">
        <v>18</v>
      </c>
      <c r="F868" t="s">
        <v>15</v>
      </c>
      <c r="G868">
        <v>5</v>
      </c>
      <c r="H868">
        <v>5</v>
      </c>
      <c r="I868">
        <v>0</v>
      </c>
      <c r="J868">
        <v>4</v>
      </c>
      <c r="K868" t="str" cm="1">
        <f t="array" ref="K86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869" spans="1:11" x14ac:dyDescent="0.35">
      <c r="A869" s="16" t="s">
        <v>50</v>
      </c>
      <c r="B869" t="s">
        <v>41</v>
      </c>
      <c r="C869" t="s">
        <v>42</v>
      </c>
      <c r="D869" t="s">
        <v>32</v>
      </c>
      <c r="E869" t="s">
        <v>30</v>
      </c>
      <c r="F869" t="s">
        <v>15</v>
      </c>
      <c r="G869">
        <v>4</v>
      </c>
      <c r="H869">
        <v>4</v>
      </c>
      <c r="I869">
        <v>0</v>
      </c>
      <c r="J869">
        <v>3.1</v>
      </c>
      <c r="K869" t="str" cm="1">
        <f t="array" ref="K86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70" spans="1:11" x14ac:dyDescent="0.35">
      <c r="A870" s="16" t="s">
        <v>10</v>
      </c>
      <c r="B870" t="s">
        <v>48</v>
      </c>
      <c r="C870" t="s">
        <v>63</v>
      </c>
      <c r="D870" t="s">
        <v>26</v>
      </c>
      <c r="E870" t="s">
        <v>14</v>
      </c>
      <c r="F870" t="s">
        <v>19</v>
      </c>
      <c r="G870">
        <v>7</v>
      </c>
      <c r="H870">
        <v>5</v>
      </c>
      <c r="I870">
        <v>0</v>
      </c>
      <c r="J870">
        <v>2.2999999999999998</v>
      </c>
      <c r="K870" t="str" cm="1">
        <f t="array" ref="K87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871" spans="1:11" x14ac:dyDescent="0.35">
      <c r="A871" s="16" t="s">
        <v>50</v>
      </c>
      <c r="B871" t="s">
        <v>48</v>
      </c>
      <c r="C871" t="s">
        <v>63</v>
      </c>
      <c r="D871" t="s">
        <v>22</v>
      </c>
      <c r="E871" t="s">
        <v>18</v>
      </c>
      <c r="F871" t="s">
        <v>19</v>
      </c>
      <c r="G871">
        <v>3</v>
      </c>
      <c r="H871">
        <v>2</v>
      </c>
      <c r="I871">
        <v>0</v>
      </c>
      <c r="J871">
        <v>2.1</v>
      </c>
      <c r="K871" t="str" cm="1">
        <f t="array" ref="K87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72" spans="1:11" x14ac:dyDescent="0.35">
      <c r="A872" s="16" t="s">
        <v>43</v>
      </c>
      <c r="B872" t="s">
        <v>28</v>
      </c>
      <c r="C872" t="s">
        <v>29</v>
      </c>
      <c r="D872" t="s">
        <v>26</v>
      </c>
      <c r="E872" t="s">
        <v>53</v>
      </c>
      <c r="F872" t="s">
        <v>15</v>
      </c>
      <c r="G872">
        <v>4</v>
      </c>
      <c r="H872">
        <v>4</v>
      </c>
      <c r="I872">
        <v>0</v>
      </c>
      <c r="J872">
        <v>2.2000000000000002</v>
      </c>
      <c r="K872" t="str" cm="1">
        <f t="array" ref="K87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873" spans="1:11" x14ac:dyDescent="0.35">
      <c r="A873" s="16" t="s">
        <v>50</v>
      </c>
      <c r="B873" t="s">
        <v>34</v>
      </c>
      <c r="C873" t="s">
        <v>35</v>
      </c>
      <c r="D873" t="s">
        <v>26</v>
      </c>
      <c r="E873" t="s">
        <v>53</v>
      </c>
      <c r="F873" t="s">
        <v>15</v>
      </c>
      <c r="G873">
        <v>4</v>
      </c>
      <c r="H873">
        <v>4</v>
      </c>
      <c r="I873">
        <v>1</v>
      </c>
      <c r="J873">
        <v>3.4</v>
      </c>
      <c r="K873" t="str" cm="1">
        <f t="array" ref="K87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74" spans="1:11" x14ac:dyDescent="0.35">
      <c r="A874" s="16" t="s">
        <v>33</v>
      </c>
      <c r="B874" t="s">
        <v>11</v>
      </c>
      <c r="C874" t="s">
        <v>12</v>
      </c>
      <c r="D874" t="s">
        <v>26</v>
      </c>
      <c r="E874" t="s">
        <v>53</v>
      </c>
      <c r="F874" t="s">
        <v>19</v>
      </c>
      <c r="G874">
        <v>8</v>
      </c>
      <c r="H874">
        <v>8</v>
      </c>
      <c r="I874">
        <v>0</v>
      </c>
      <c r="J874">
        <v>5.6</v>
      </c>
      <c r="K874" t="str" cm="1">
        <f t="array" ref="K87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875" spans="1:11" x14ac:dyDescent="0.35">
      <c r="A875" s="16" t="s">
        <v>45</v>
      </c>
      <c r="B875" t="s">
        <v>41</v>
      </c>
      <c r="C875" t="s">
        <v>42</v>
      </c>
      <c r="D875" t="s">
        <v>32</v>
      </c>
      <c r="E875" t="s">
        <v>53</v>
      </c>
      <c r="F875" t="s">
        <v>15</v>
      </c>
      <c r="G875">
        <v>5</v>
      </c>
      <c r="H875">
        <v>5</v>
      </c>
      <c r="I875">
        <v>0</v>
      </c>
      <c r="J875">
        <v>3.3</v>
      </c>
      <c r="K875" t="str" cm="1">
        <f t="array" ref="K87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876" spans="1:11" x14ac:dyDescent="0.35">
      <c r="A876" s="16" t="s">
        <v>23</v>
      </c>
      <c r="B876" t="s">
        <v>34</v>
      </c>
      <c r="C876" t="s">
        <v>51</v>
      </c>
      <c r="D876" t="s">
        <v>13</v>
      </c>
      <c r="E876" t="s">
        <v>27</v>
      </c>
      <c r="F876" t="s">
        <v>19</v>
      </c>
      <c r="G876">
        <v>6</v>
      </c>
      <c r="H876">
        <v>6</v>
      </c>
      <c r="I876">
        <v>1</v>
      </c>
      <c r="J876">
        <v>5</v>
      </c>
      <c r="K876" t="str" cm="1">
        <f t="array" ref="K87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877" spans="1:11" x14ac:dyDescent="0.35">
      <c r="A877" s="16" t="s">
        <v>10</v>
      </c>
      <c r="B877" t="s">
        <v>46</v>
      </c>
      <c r="C877" t="s">
        <v>47</v>
      </c>
      <c r="D877" t="s">
        <v>22</v>
      </c>
      <c r="E877" t="s">
        <v>22</v>
      </c>
      <c r="F877" t="s">
        <v>19</v>
      </c>
      <c r="G877">
        <v>2</v>
      </c>
      <c r="H877">
        <v>1</v>
      </c>
      <c r="I877">
        <v>0</v>
      </c>
      <c r="J877">
        <v>3.4</v>
      </c>
      <c r="K877" t="str" cm="1">
        <f t="array" ref="K87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878" spans="1:11" x14ac:dyDescent="0.35">
      <c r="A878" s="16" t="s">
        <v>10</v>
      </c>
      <c r="B878" t="s">
        <v>16</v>
      </c>
      <c r="C878" t="s">
        <v>17</v>
      </c>
      <c r="D878" t="s">
        <v>40</v>
      </c>
      <c r="E878" t="s">
        <v>18</v>
      </c>
      <c r="F878" t="s">
        <v>15</v>
      </c>
      <c r="G878">
        <v>3</v>
      </c>
      <c r="H878">
        <v>3</v>
      </c>
      <c r="I878">
        <v>0</v>
      </c>
      <c r="J878">
        <v>3.9</v>
      </c>
      <c r="K878" t="str" cm="1">
        <f t="array" ref="K87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879" spans="1:11" x14ac:dyDescent="0.35">
      <c r="A879" s="16" t="s">
        <v>50</v>
      </c>
      <c r="B879" t="s">
        <v>37</v>
      </c>
      <c r="C879" t="s">
        <v>38</v>
      </c>
      <c r="D879" t="s">
        <v>40</v>
      </c>
      <c r="E879" t="s">
        <v>18</v>
      </c>
      <c r="F879" t="s">
        <v>15</v>
      </c>
      <c r="G879">
        <v>6</v>
      </c>
      <c r="H879">
        <v>5</v>
      </c>
      <c r="I879">
        <v>0</v>
      </c>
      <c r="J879">
        <v>2.8</v>
      </c>
      <c r="K879" t="str" cm="1">
        <f t="array" ref="K87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80" spans="1:11" x14ac:dyDescent="0.35">
      <c r="A880" s="16" t="s">
        <v>33</v>
      </c>
      <c r="B880" t="s">
        <v>56</v>
      </c>
      <c r="C880" t="s">
        <v>57</v>
      </c>
      <c r="D880" t="s">
        <v>22</v>
      </c>
      <c r="E880" t="s">
        <v>27</v>
      </c>
      <c r="F880" t="s">
        <v>19</v>
      </c>
      <c r="G880">
        <v>4</v>
      </c>
      <c r="H880">
        <v>4</v>
      </c>
      <c r="I880">
        <v>0</v>
      </c>
      <c r="J880">
        <v>2.8</v>
      </c>
      <c r="K880" t="str" cm="1">
        <f t="array" ref="K88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881" spans="1:11" x14ac:dyDescent="0.35">
      <c r="A881" s="16" t="s">
        <v>23</v>
      </c>
      <c r="B881" t="s">
        <v>46</v>
      </c>
      <c r="C881" t="s">
        <v>54</v>
      </c>
      <c r="D881" t="s">
        <v>26</v>
      </c>
      <c r="E881" t="s">
        <v>22</v>
      </c>
      <c r="F881" t="s">
        <v>19</v>
      </c>
      <c r="G881">
        <v>6</v>
      </c>
      <c r="H881">
        <v>6</v>
      </c>
      <c r="I881">
        <v>0</v>
      </c>
      <c r="J881">
        <v>4.5</v>
      </c>
      <c r="K881" t="str" cm="1">
        <f t="array" ref="K88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882" spans="1:11" x14ac:dyDescent="0.35">
      <c r="A882" s="16" t="s">
        <v>20</v>
      </c>
      <c r="B882" t="s">
        <v>28</v>
      </c>
      <c r="C882" t="s">
        <v>29</v>
      </c>
      <c r="D882" t="s">
        <v>22</v>
      </c>
      <c r="E882" t="s">
        <v>14</v>
      </c>
      <c r="F882" t="s">
        <v>15</v>
      </c>
      <c r="G882">
        <v>5</v>
      </c>
      <c r="H882">
        <v>3</v>
      </c>
      <c r="I882">
        <v>0</v>
      </c>
      <c r="J882">
        <v>4.3</v>
      </c>
      <c r="K882" t="str" cm="1">
        <f t="array" ref="K88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83" spans="1:11" x14ac:dyDescent="0.35">
      <c r="A883" s="16" t="s">
        <v>20</v>
      </c>
      <c r="B883" t="s">
        <v>34</v>
      </c>
      <c r="C883" t="s">
        <v>35</v>
      </c>
      <c r="D883" t="s">
        <v>22</v>
      </c>
      <c r="E883" t="s">
        <v>22</v>
      </c>
      <c r="F883" t="s">
        <v>15</v>
      </c>
      <c r="G883">
        <v>3</v>
      </c>
      <c r="H883">
        <v>3</v>
      </c>
      <c r="I883">
        <v>0</v>
      </c>
      <c r="J883">
        <v>2.2999999999999998</v>
      </c>
      <c r="K883" t="str" cm="1">
        <f t="array" ref="K88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84" spans="1:11" x14ac:dyDescent="0.35">
      <c r="A884" s="16" t="s">
        <v>43</v>
      </c>
      <c r="B884" t="s">
        <v>34</v>
      </c>
      <c r="C884" t="s">
        <v>35</v>
      </c>
      <c r="D884" t="s">
        <v>40</v>
      </c>
      <c r="E884" t="s">
        <v>53</v>
      </c>
      <c r="F884" t="s">
        <v>15</v>
      </c>
      <c r="G884">
        <v>8</v>
      </c>
      <c r="H884">
        <v>7</v>
      </c>
      <c r="I884">
        <v>0</v>
      </c>
      <c r="J884">
        <v>2.5</v>
      </c>
      <c r="K884" t="str" cm="1">
        <f t="array" ref="K88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885" spans="1:11" x14ac:dyDescent="0.35">
      <c r="A885" s="16" t="s">
        <v>50</v>
      </c>
      <c r="B885" t="s">
        <v>34</v>
      </c>
      <c r="C885" t="s">
        <v>35</v>
      </c>
      <c r="D885" t="s">
        <v>13</v>
      </c>
      <c r="E885" t="s">
        <v>18</v>
      </c>
      <c r="F885" t="s">
        <v>15</v>
      </c>
      <c r="G885">
        <v>6</v>
      </c>
      <c r="H885">
        <v>6</v>
      </c>
      <c r="I885">
        <v>1</v>
      </c>
      <c r="J885">
        <v>1.6</v>
      </c>
      <c r="K885" t="str" cm="1">
        <f t="array" ref="K88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86" spans="1:11" x14ac:dyDescent="0.35">
      <c r="A886" s="16" t="s">
        <v>36</v>
      </c>
      <c r="B886" t="s">
        <v>37</v>
      </c>
      <c r="C886" t="s">
        <v>39</v>
      </c>
      <c r="D886" t="s">
        <v>40</v>
      </c>
      <c r="E886" t="s">
        <v>14</v>
      </c>
      <c r="F886" t="s">
        <v>19</v>
      </c>
      <c r="G886">
        <v>6</v>
      </c>
      <c r="H886">
        <v>6</v>
      </c>
      <c r="I886">
        <v>0</v>
      </c>
      <c r="J886">
        <v>2.1</v>
      </c>
      <c r="K886" t="str" cm="1">
        <f t="array" ref="K88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887" spans="1:11" x14ac:dyDescent="0.35">
      <c r="A887" s="16" t="s">
        <v>20</v>
      </c>
      <c r="B887" t="s">
        <v>56</v>
      </c>
      <c r="C887" t="s">
        <v>57</v>
      </c>
      <c r="D887" t="s">
        <v>13</v>
      </c>
      <c r="E887" t="s">
        <v>30</v>
      </c>
      <c r="F887" t="s">
        <v>15</v>
      </c>
      <c r="G887">
        <v>3</v>
      </c>
      <c r="H887">
        <v>3</v>
      </c>
      <c r="I887">
        <v>0</v>
      </c>
      <c r="J887">
        <v>2.9</v>
      </c>
      <c r="K887" t="str" cm="1">
        <f t="array" ref="K88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88" spans="1:11" x14ac:dyDescent="0.35">
      <c r="A888" s="16" t="s">
        <v>45</v>
      </c>
      <c r="B888" t="s">
        <v>34</v>
      </c>
      <c r="C888" t="s">
        <v>35</v>
      </c>
      <c r="D888" t="s">
        <v>21</v>
      </c>
      <c r="E888" t="s">
        <v>14</v>
      </c>
      <c r="F888" t="s">
        <v>19</v>
      </c>
      <c r="G888">
        <v>7</v>
      </c>
      <c r="H888">
        <v>6</v>
      </c>
      <c r="I888">
        <v>0</v>
      </c>
      <c r="J888">
        <v>0.9</v>
      </c>
      <c r="K888" t="str" cm="1">
        <f t="array" ref="K88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889" spans="1:11" x14ac:dyDescent="0.35">
      <c r="A889" s="16" t="s">
        <v>36</v>
      </c>
      <c r="B889" t="s">
        <v>24</v>
      </c>
      <c r="C889" t="s">
        <v>25</v>
      </c>
      <c r="D889" t="s">
        <v>21</v>
      </c>
      <c r="E889" t="s">
        <v>27</v>
      </c>
      <c r="F889" t="s">
        <v>15</v>
      </c>
      <c r="G889">
        <v>7</v>
      </c>
      <c r="H889">
        <v>6</v>
      </c>
      <c r="I889">
        <v>0</v>
      </c>
      <c r="J889">
        <v>2.8</v>
      </c>
      <c r="K889" t="str" cm="1">
        <f t="array" ref="K88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890" spans="1:11" x14ac:dyDescent="0.35">
      <c r="A890" s="16" t="s">
        <v>31</v>
      </c>
      <c r="B890" t="s">
        <v>24</v>
      </c>
      <c r="C890" t="s">
        <v>64</v>
      </c>
      <c r="D890" t="s">
        <v>13</v>
      </c>
      <c r="E890" t="s">
        <v>22</v>
      </c>
      <c r="F890" t="s">
        <v>19</v>
      </c>
      <c r="G890">
        <v>4</v>
      </c>
      <c r="H890">
        <v>4</v>
      </c>
      <c r="I890">
        <v>0</v>
      </c>
      <c r="J890">
        <v>3.4</v>
      </c>
      <c r="K890" t="str" cm="1">
        <f t="array" ref="K89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91" spans="1:11" x14ac:dyDescent="0.35">
      <c r="A891" s="16" t="s">
        <v>20</v>
      </c>
      <c r="B891" t="s">
        <v>34</v>
      </c>
      <c r="C891" t="s">
        <v>35</v>
      </c>
      <c r="D891" t="s">
        <v>13</v>
      </c>
      <c r="E891" t="s">
        <v>27</v>
      </c>
      <c r="F891" t="s">
        <v>15</v>
      </c>
      <c r="G891">
        <v>7</v>
      </c>
      <c r="H891">
        <v>5</v>
      </c>
      <c r="I891">
        <v>0</v>
      </c>
      <c r="J891">
        <v>3.1</v>
      </c>
      <c r="K891" t="str" cm="1">
        <f t="array" ref="K89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92" spans="1:11" x14ac:dyDescent="0.35">
      <c r="A892" s="16" t="s">
        <v>31</v>
      </c>
      <c r="B892" t="s">
        <v>28</v>
      </c>
      <c r="C892" t="s">
        <v>58</v>
      </c>
      <c r="D892" t="s">
        <v>40</v>
      </c>
      <c r="E892" t="s">
        <v>30</v>
      </c>
      <c r="F892" t="s">
        <v>15</v>
      </c>
      <c r="G892">
        <v>6</v>
      </c>
      <c r="H892">
        <v>5</v>
      </c>
      <c r="I892">
        <v>0</v>
      </c>
      <c r="J892">
        <v>3</v>
      </c>
      <c r="K892" t="str" cm="1">
        <f t="array" ref="K89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893" spans="1:11" x14ac:dyDescent="0.35">
      <c r="A893" s="16" t="s">
        <v>20</v>
      </c>
      <c r="B893" t="s">
        <v>11</v>
      </c>
      <c r="C893" t="s">
        <v>52</v>
      </c>
      <c r="D893" t="s">
        <v>32</v>
      </c>
      <c r="E893" t="s">
        <v>30</v>
      </c>
      <c r="F893" t="s">
        <v>15</v>
      </c>
      <c r="G893">
        <v>7</v>
      </c>
      <c r="H893">
        <v>6</v>
      </c>
      <c r="I893">
        <v>0</v>
      </c>
      <c r="J893">
        <v>1.6</v>
      </c>
      <c r="K893" t="str" cm="1">
        <f t="array" ref="K89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894" spans="1:11" x14ac:dyDescent="0.35">
      <c r="A894" s="16" t="s">
        <v>61</v>
      </c>
      <c r="B894" t="s">
        <v>56</v>
      </c>
      <c r="C894" t="s">
        <v>57</v>
      </c>
      <c r="D894" t="s">
        <v>22</v>
      </c>
      <c r="E894" t="s">
        <v>27</v>
      </c>
      <c r="F894" t="s">
        <v>19</v>
      </c>
      <c r="G894">
        <v>4</v>
      </c>
      <c r="H894">
        <v>4</v>
      </c>
      <c r="I894">
        <v>0</v>
      </c>
      <c r="J894">
        <v>3.7</v>
      </c>
      <c r="K894" t="str" cm="1">
        <f t="array" ref="K89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895" spans="1:11" x14ac:dyDescent="0.35">
      <c r="A895" s="16" t="s">
        <v>50</v>
      </c>
      <c r="B895" t="s">
        <v>34</v>
      </c>
      <c r="C895" t="s">
        <v>35</v>
      </c>
      <c r="D895" t="s">
        <v>26</v>
      </c>
      <c r="E895" t="s">
        <v>18</v>
      </c>
      <c r="F895" t="s">
        <v>19</v>
      </c>
      <c r="G895">
        <v>5</v>
      </c>
      <c r="H895">
        <v>3</v>
      </c>
      <c r="I895">
        <v>0</v>
      </c>
      <c r="J895">
        <v>2.2999999999999998</v>
      </c>
      <c r="K895" t="str" cm="1">
        <f t="array" ref="K89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896" spans="1:11" x14ac:dyDescent="0.35">
      <c r="A896" s="16" t="s">
        <v>23</v>
      </c>
      <c r="B896" t="s">
        <v>28</v>
      </c>
      <c r="C896" t="s">
        <v>29</v>
      </c>
      <c r="D896" t="s">
        <v>21</v>
      </c>
      <c r="E896" t="s">
        <v>27</v>
      </c>
      <c r="F896" t="s">
        <v>19</v>
      </c>
      <c r="G896">
        <v>4</v>
      </c>
      <c r="H896">
        <v>2</v>
      </c>
      <c r="I896">
        <v>0</v>
      </c>
      <c r="J896">
        <v>3.5</v>
      </c>
      <c r="K896" t="str" cm="1">
        <f t="array" ref="K89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897" spans="1:11" x14ac:dyDescent="0.35">
      <c r="A897" s="16" t="s">
        <v>55</v>
      </c>
      <c r="B897" t="s">
        <v>46</v>
      </c>
      <c r="C897" t="s">
        <v>47</v>
      </c>
      <c r="D897" t="s">
        <v>26</v>
      </c>
      <c r="E897" t="s">
        <v>27</v>
      </c>
      <c r="F897" t="s">
        <v>19</v>
      </c>
      <c r="G897">
        <v>4</v>
      </c>
      <c r="H897">
        <v>3</v>
      </c>
      <c r="I897">
        <v>0</v>
      </c>
      <c r="J897">
        <v>2.8</v>
      </c>
      <c r="K897" t="str" cm="1">
        <f t="array" ref="K89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898" spans="1:11" x14ac:dyDescent="0.35">
      <c r="A898" s="16" t="s">
        <v>55</v>
      </c>
      <c r="B898" t="s">
        <v>46</v>
      </c>
      <c r="C898" t="s">
        <v>47</v>
      </c>
      <c r="D898" t="s">
        <v>40</v>
      </c>
      <c r="E898" t="s">
        <v>22</v>
      </c>
      <c r="F898" t="s">
        <v>15</v>
      </c>
      <c r="G898">
        <v>6</v>
      </c>
      <c r="H898">
        <v>6</v>
      </c>
      <c r="I898">
        <v>0</v>
      </c>
      <c r="J898">
        <v>1.5</v>
      </c>
      <c r="K898" t="str" cm="1">
        <f t="array" ref="K89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899" spans="1:11" x14ac:dyDescent="0.35">
      <c r="A899" s="16" t="s">
        <v>50</v>
      </c>
      <c r="B899" t="s">
        <v>56</v>
      </c>
      <c r="C899" t="s">
        <v>62</v>
      </c>
      <c r="D899" t="s">
        <v>21</v>
      </c>
      <c r="E899" t="s">
        <v>18</v>
      </c>
      <c r="F899" t="s">
        <v>19</v>
      </c>
      <c r="G899">
        <v>3</v>
      </c>
      <c r="H899">
        <v>2</v>
      </c>
      <c r="I899">
        <v>0</v>
      </c>
      <c r="J899">
        <v>1.7</v>
      </c>
      <c r="K899" t="str" cm="1">
        <f t="array" ref="K89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900" spans="1:11" x14ac:dyDescent="0.35">
      <c r="A900" s="16" t="s">
        <v>43</v>
      </c>
      <c r="B900" t="s">
        <v>48</v>
      </c>
      <c r="C900" t="s">
        <v>49</v>
      </c>
      <c r="D900" t="s">
        <v>40</v>
      </c>
      <c r="E900" t="s">
        <v>18</v>
      </c>
      <c r="F900" t="s">
        <v>15</v>
      </c>
      <c r="G900">
        <v>4</v>
      </c>
      <c r="H900">
        <v>3</v>
      </c>
      <c r="I900">
        <v>0</v>
      </c>
      <c r="J900">
        <v>2.6</v>
      </c>
      <c r="K900" t="str" cm="1">
        <f t="array" ref="K90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901" spans="1:11" x14ac:dyDescent="0.35">
      <c r="A901" s="16" t="s">
        <v>20</v>
      </c>
      <c r="B901" t="s">
        <v>11</v>
      </c>
      <c r="C901" t="s">
        <v>12</v>
      </c>
      <c r="D901" t="s">
        <v>22</v>
      </c>
      <c r="E901" t="s">
        <v>27</v>
      </c>
      <c r="F901" t="s">
        <v>19</v>
      </c>
      <c r="G901">
        <v>6</v>
      </c>
      <c r="H901">
        <v>6</v>
      </c>
      <c r="I901">
        <v>0</v>
      </c>
      <c r="J901">
        <v>2.4</v>
      </c>
      <c r="K901" t="str" cm="1">
        <f t="array" ref="K90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902" spans="1:11" x14ac:dyDescent="0.35">
      <c r="A902" s="16" t="s">
        <v>31</v>
      </c>
      <c r="B902" t="s">
        <v>56</v>
      </c>
      <c r="C902" t="s">
        <v>62</v>
      </c>
      <c r="D902" t="s">
        <v>26</v>
      </c>
      <c r="E902" t="s">
        <v>30</v>
      </c>
      <c r="F902" t="s">
        <v>15</v>
      </c>
      <c r="G902">
        <v>4</v>
      </c>
      <c r="H902">
        <v>4</v>
      </c>
      <c r="I902">
        <v>1</v>
      </c>
      <c r="J902">
        <v>4.5</v>
      </c>
      <c r="K902" t="str" cm="1">
        <f t="array" ref="K90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903" spans="1:11" x14ac:dyDescent="0.35">
      <c r="A903" s="16" t="s">
        <v>36</v>
      </c>
      <c r="B903" t="s">
        <v>16</v>
      </c>
      <c r="C903" t="s">
        <v>60</v>
      </c>
      <c r="D903" t="s">
        <v>32</v>
      </c>
      <c r="E903" t="s">
        <v>53</v>
      </c>
      <c r="F903" t="s">
        <v>15</v>
      </c>
      <c r="G903">
        <v>2</v>
      </c>
      <c r="H903">
        <v>2</v>
      </c>
      <c r="I903">
        <v>0</v>
      </c>
      <c r="J903">
        <v>1.9</v>
      </c>
      <c r="K903" t="str" cm="1">
        <f t="array" ref="K90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904" spans="1:11" x14ac:dyDescent="0.35">
      <c r="A904" s="16" t="s">
        <v>20</v>
      </c>
      <c r="B904" t="s">
        <v>28</v>
      </c>
      <c r="C904" t="s">
        <v>58</v>
      </c>
      <c r="D904" t="s">
        <v>26</v>
      </c>
      <c r="E904" t="s">
        <v>30</v>
      </c>
      <c r="F904" t="s">
        <v>19</v>
      </c>
      <c r="G904">
        <v>2</v>
      </c>
      <c r="H904">
        <v>2</v>
      </c>
      <c r="I904">
        <v>0</v>
      </c>
      <c r="J904">
        <v>5.9</v>
      </c>
      <c r="K904" t="str" cm="1">
        <f t="array" ref="K90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905" spans="1:11" x14ac:dyDescent="0.35">
      <c r="A905" s="16" t="s">
        <v>45</v>
      </c>
      <c r="B905" t="s">
        <v>34</v>
      </c>
      <c r="C905" t="s">
        <v>35</v>
      </c>
      <c r="D905" t="s">
        <v>26</v>
      </c>
      <c r="E905" t="s">
        <v>18</v>
      </c>
      <c r="F905" t="s">
        <v>15</v>
      </c>
      <c r="G905">
        <v>5</v>
      </c>
      <c r="H905">
        <v>4</v>
      </c>
      <c r="I905">
        <v>0</v>
      </c>
      <c r="J905">
        <v>3.3</v>
      </c>
      <c r="K905" t="str" cm="1">
        <f t="array" ref="K90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906" spans="1:11" x14ac:dyDescent="0.35">
      <c r="A906" s="16" t="s">
        <v>20</v>
      </c>
      <c r="B906" t="s">
        <v>16</v>
      </c>
      <c r="C906" t="s">
        <v>17</v>
      </c>
      <c r="D906" t="s">
        <v>21</v>
      </c>
      <c r="E906" t="s">
        <v>53</v>
      </c>
      <c r="F906" t="s">
        <v>19</v>
      </c>
      <c r="G906">
        <v>5</v>
      </c>
      <c r="H906">
        <v>5</v>
      </c>
      <c r="I906">
        <v>1</v>
      </c>
      <c r="J906">
        <v>2.1</v>
      </c>
      <c r="K906" t="str" cm="1">
        <f t="array" ref="K90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907" spans="1:11" x14ac:dyDescent="0.35">
      <c r="A907" s="16" t="s">
        <v>36</v>
      </c>
      <c r="B907" t="s">
        <v>41</v>
      </c>
      <c r="C907" t="s">
        <v>44</v>
      </c>
      <c r="D907" t="s">
        <v>26</v>
      </c>
      <c r="E907" t="s">
        <v>22</v>
      </c>
      <c r="F907" t="s">
        <v>19</v>
      </c>
      <c r="G907">
        <v>7</v>
      </c>
      <c r="H907">
        <v>7</v>
      </c>
      <c r="I907">
        <v>0</v>
      </c>
      <c r="J907">
        <v>3.2</v>
      </c>
      <c r="K907" t="str" cm="1">
        <f t="array" ref="K90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908" spans="1:11" x14ac:dyDescent="0.35">
      <c r="A908" s="16" t="s">
        <v>59</v>
      </c>
      <c r="B908" t="s">
        <v>37</v>
      </c>
      <c r="C908" t="s">
        <v>39</v>
      </c>
      <c r="D908" t="s">
        <v>21</v>
      </c>
      <c r="E908" t="s">
        <v>27</v>
      </c>
      <c r="F908" t="s">
        <v>19</v>
      </c>
      <c r="G908">
        <v>7</v>
      </c>
      <c r="H908">
        <v>6</v>
      </c>
      <c r="I908">
        <v>0</v>
      </c>
      <c r="J908">
        <v>2.6</v>
      </c>
      <c r="K908" t="str" cm="1">
        <f t="array" ref="K90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09" spans="1:11" x14ac:dyDescent="0.35">
      <c r="A909" s="16" t="s">
        <v>36</v>
      </c>
      <c r="B909" t="s">
        <v>34</v>
      </c>
      <c r="C909" t="s">
        <v>51</v>
      </c>
      <c r="D909" t="s">
        <v>32</v>
      </c>
      <c r="E909" t="s">
        <v>22</v>
      </c>
      <c r="F909" t="s">
        <v>19</v>
      </c>
      <c r="G909">
        <v>5</v>
      </c>
      <c r="H909">
        <v>5</v>
      </c>
      <c r="I909">
        <v>1</v>
      </c>
      <c r="J909">
        <v>3.6</v>
      </c>
      <c r="K909" t="str" cm="1">
        <f t="array" ref="K90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910" spans="1:11" x14ac:dyDescent="0.35">
      <c r="A910" s="16" t="s">
        <v>61</v>
      </c>
      <c r="B910" t="s">
        <v>37</v>
      </c>
      <c r="C910" t="s">
        <v>38</v>
      </c>
      <c r="D910" t="s">
        <v>13</v>
      </c>
      <c r="E910" t="s">
        <v>22</v>
      </c>
      <c r="F910" t="s">
        <v>19</v>
      </c>
      <c r="G910">
        <v>2</v>
      </c>
      <c r="H910">
        <v>2</v>
      </c>
      <c r="I910">
        <v>0</v>
      </c>
      <c r="J910">
        <v>2.2000000000000002</v>
      </c>
      <c r="K910" t="str" cm="1">
        <f t="array" ref="K91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911" spans="1:11" x14ac:dyDescent="0.35">
      <c r="A911" s="16" t="s">
        <v>55</v>
      </c>
      <c r="B911" t="s">
        <v>16</v>
      </c>
      <c r="C911" t="s">
        <v>17</v>
      </c>
      <c r="D911" t="s">
        <v>13</v>
      </c>
      <c r="E911" t="s">
        <v>18</v>
      </c>
      <c r="F911" t="s">
        <v>15</v>
      </c>
      <c r="G911">
        <v>5</v>
      </c>
      <c r="H911">
        <v>5</v>
      </c>
      <c r="I911">
        <v>0</v>
      </c>
      <c r="J911">
        <v>2.7</v>
      </c>
      <c r="K911" t="str" cm="1">
        <f t="array" ref="K91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912" spans="1:11" x14ac:dyDescent="0.35">
      <c r="A912" s="16" t="s">
        <v>10</v>
      </c>
      <c r="B912" t="s">
        <v>48</v>
      </c>
      <c r="C912" t="s">
        <v>63</v>
      </c>
      <c r="D912" t="s">
        <v>32</v>
      </c>
      <c r="E912" t="s">
        <v>18</v>
      </c>
      <c r="F912" t="s">
        <v>19</v>
      </c>
      <c r="G912">
        <v>7</v>
      </c>
      <c r="H912">
        <v>7</v>
      </c>
      <c r="I912">
        <v>0</v>
      </c>
      <c r="J912">
        <v>3.6</v>
      </c>
      <c r="K912" t="str" cm="1">
        <f t="array" ref="K91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913" spans="1:11" x14ac:dyDescent="0.35">
      <c r="A913" s="16" t="s">
        <v>36</v>
      </c>
      <c r="B913" t="s">
        <v>11</v>
      </c>
      <c r="C913" t="s">
        <v>12</v>
      </c>
      <c r="D913" t="s">
        <v>26</v>
      </c>
      <c r="E913" t="s">
        <v>18</v>
      </c>
      <c r="F913" t="s">
        <v>19</v>
      </c>
      <c r="G913">
        <v>5</v>
      </c>
      <c r="H913">
        <v>4</v>
      </c>
      <c r="I913">
        <v>0</v>
      </c>
      <c r="J913">
        <v>3.5</v>
      </c>
      <c r="K913" t="str" cm="1">
        <f t="array" ref="K91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914" spans="1:11" x14ac:dyDescent="0.35">
      <c r="A914" s="16" t="s">
        <v>61</v>
      </c>
      <c r="B914" t="s">
        <v>11</v>
      </c>
      <c r="C914" t="s">
        <v>52</v>
      </c>
      <c r="D914" t="s">
        <v>13</v>
      </c>
      <c r="E914" t="s">
        <v>22</v>
      </c>
      <c r="F914" t="s">
        <v>15</v>
      </c>
      <c r="G914">
        <v>2</v>
      </c>
      <c r="H914">
        <v>2</v>
      </c>
      <c r="I914">
        <v>0</v>
      </c>
      <c r="J914">
        <v>-0.3</v>
      </c>
      <c r="K914" t="str" cm="1">
        <f t="array" ref="K91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915" spans="1:11" x14ac:dyDescent="0.35">
      <c r="A915" s="16" t="s">
        <v>61</v>
      </c>
      <c r="B915" t="s">
        <v>48</v>
      </c>
      <c r="C915" t="s">
        <v>63</v>
      </c>
      <c r="D915" t="s">
        <v>21</v>
      </c>
      <c r="E915" t="s">
        <v>22</v>
      </c>
      <c r="F915" t="s">
        <v>15</v>
      </c>
      <c r="G915">
        <v>2</v>
      </c>
      <c r="H915">
        <v>2</v>
      </c>
      <c r="I915">
        <v>0</v>
      </c>
      <c r="J915">
        <v>4.2</v>
      </c>
      <c r="K915" t="str" cm="1">
        <f t="array" ref="K91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916" spans="1:11" x14ac:dyDescent="0.35">
      <c r="A916" s="16" t="s">
        <v>10</v>
      </c>
      <c r="B916" t="s">
        <v>16</v>
      </c>
      <c r="C916" t="s">
        <v>17</v>
      </c>
      <c r="D916" t="s">
        <v>32</v>
      </c>
      <c r="E916" t="s">
        <v>22</v>
      </c>
      <c r="F916" t="s">
        <v>15</v>
      </c>
      <c r="G916">
        <v>6</v>
      </c>
      <c r="H916">
        <v>6</v>
      </c>
      <c r="I916">
        <v>0</v>
      </c>
      <c r="J916">
        <v>2.9</v>
      </c>
      <c r="K916" t="str" cm="1">
        <f t="array" ref="K91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917" spans="1:11" x14ac:dyDescent="0.35">
      <c r="A917" s="16" t="s">
        <v>36</v>
      </c>
      <c r="B917" t="s">
        <v>16</v>
      </c>
      <c r="C917" t="s">
        <v>17</v>
      </c>
      <c r="D917" t="s">
        <v>21</v>
      </c>
      <c r="E917" t="s">
        <v>18</v>
      </c>
      <c r="F917" t="s">
        <v>15</v>
      </c>
      <c r="G917">
        <v>11</v>
      </c>
      <c r="H917">
        <v>9</v>
      </c>
      <c r="I917">
        <v>1</v>
      </c>
      <c r="J917">
        <v>3.1</v>
      </c>
      <c r="K917" t="str" cm="1">
        <f t="array" ref="K91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918" spans="1:11" x14ac:dyDescent="0.35">
      <c r="A918" s="16" t="s">
        <v>43</v>
      </c>
      <c r="B918" t="s">
        <v>34</v>
      </c>
      <c r="C918" t="s">
        <v>51</v>
      </c>
      <c r="D918" t="s">
        <v>13</v>
      </c>
      <c r="E918" t="s">
        <v>18</v>
      </c>
      <c r="F918" t="s">
        <v>19</v>
      </c>
      <c r="G918">
        <v>6</v>
      </c>
      <c r="H918">
        <v>6</v>
      </c>
      <c r="I918">
        <v>0</v>
      </c>
      <c r="J918">
        <v>3.2</v>
      </c>
      <c r="K918" t="str" cm="1">
        <f t="array" ref="K91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919" spans="1:11" x14ac:dyDescent="0.35">
      <c r="A919" s="16" t="s">
        <v>33</v>
      </c>
      <c r="B919" t="s">
        <v>37</v>
      </c>
      <c r="C919" t="s">
        <v>39</v>
      </c>
      <c r="D919" t="s">
        <v>32</v>
      </c>
      <c r="E919" t="s">
        <v>53</v>
      </c>
      <c r="F919" t="s">
        <v>19</v>
      </c>
      <c r="G919">
        <v>4</v>
      </c>
      <c r="H919">
        <v>4</v>
      </c>
      <c r="I919">
        <v>0</v>
      </c>
      <c r="J919">
        <v>4.2</v>
      </c>
      <c r="K919" t="str" cm="1">
        <f t="array" ref="K91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920" spans="1:11" x14ac:dyDescent="0.35">
      <c r="A920" s="16" t="s">
        <v>50</v>
      </c>
      <c r="B920" t="s">
        <v>37</v>
      </c>
      <c r="C920" t="s">
        <v>39</v>
      </c>
      <c r="D920" t="s">
        <v>32</v>
      </c>
      <c r="E920" t="s">
        <v>30</v>
      </c>
      <c r="F920" t="s">
        <v>19</v>
      </c>
      <c r="G920">
        <v>4</v>
      </c>
      <c r="H920">
        <v>4</v>
      </c>
      <c r="I920">
        <v>0</v>
      </c>
      <c r="J920">
        <v>2.1</v>
      </c>
      <c r="K920" t="str" cm="1">
        <f t="array" ref="K92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921" spans="1:11" x14ac:dyDescent="0.35">
      <c r="A921" s="16" t="s">
        <v>20</v>
      </c>
      <c r="B921" t="s">
        <v>41</v>
      </c>
      <c r="C921" t="s">
        <v>42</v>
      </c>
      <c r="D921" t="s">
        <v>40</v>
      </c>
      <c r="E921" t="s">
        <v>30</v>
      </c>
      <c r="F921" t="s">
        <v>19</v>
      </c>
      <c r="G921">
        <v>5</v>
      </c>
      <c r="H921">
        <v>5</v>
      </c>
      <c r="I921">
        <v>0</v>
      </c>
      <c r="J921">
        <v>3.3</v>
      </c>
      <c r="K921" t="str" cm="1">
        <f t="array" ref="K92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922" spans="1:11" x14ac:dyDescent="0.35">
      <c r="A922" s="16" t="s">
        <v>61</v>
      </c>
      <c r="B922" t="s">
        <v>37</v>
      </c>
      <c r="C922" t="s">
        <v>38</v>
      </c>
      <c r="D922" t="s">
        <v>21</v>
      </c>
      <c r="E922" t="s">
        <v>27</v>
      </c>
      <c r="F922" t="s">
        <v>15</v>
      </c>
      <c r="G922">
        <v>6</v>
      </c>
      <c r="H922">
        <v>6</v>
      </c>
      <c r="I922">
        <v>2</v>
      </c>
      <c r="J922">
        <v>4</v>
      </c>
      <c r="K922" t="str" cm="1">
        <f t="array" ref="K92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923" spans="1:11" x14ac:dyDescent="0.35">
      <c r="A923" s="16" t="s">
        <v>43</v>
      </c>
      <c r="B923" t="s">
        <v>37</v>
      </c>
      <c r="C923" t="s">
        <v>39</v>
      </c>
      <c r="D923" t="s">
        <v>13</v>
      </c>
      <c r="E923" t="s">
        <v>14</v>
      </c>
      <c r="F923" t="s">
        <v>15</v>
      </c>
      <c r="G923">
        <v>2</v>
      </c>
      <c r="H923">
        <v>1</v>
      </c>
      <c r="I923">
        <v>0</v>
      </c>
      <c r="J923">
        <v>1.3</v>
      </c>
      <c r="K923" t="str" cm="1">
        <f t="array" ref="K92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924" spans="1:11" x14ac:dyDescent="0.35">
      <c r="A924" s="16" t="s">
        <v>61</v>
      </c>
      <c r="B924" t="s">
        <v>28</v>
      </c>
      <c r="C924" t="s">
        <v>29</v>
      </c>
      <c r="D924" t="s">
        <v>22</v>
      </c>
      <c r="E924" t="s">
        <v>18</v>
      </c>
      <c r="F924" t="s">
        <v>15</v>
      </c>
      <c r="G924">
        <v>11</v>
      </c>
      <c r="H924">
        <v>11</v>
      </c>
      <c r="I924">
        <v>0</v>
      </c>
      <c r="J924">
        <v>0.6</v>
      </c>
      <c r="K924" t="str" cm="1">
        <f t="array" ref="K92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925" spans="1:11" x14ac:dyDescent="0.35">
      <c r="A925" s="16" t="s">
        <v>55</v>
      </c>
      <c r="B925" t="s">
        <v>41</v>
      </c>
      <c r="C925" t="s">
        <v>42</v>
      </c>
      <c r="D925" t="s">
        <v>26</v>
      </c>
      <c r="E925" t="s">
        <v>30</v>
      </c>
      <c r="F925" t="s">
        <v>19</v>
      </c>
      <c r="G925">
        <v>5</v>
      </c>
      <c r="H925">
        <v>4</v>
      </c>
      <c r="I925">
        <v>0</v>
      </c>
      <c r="J925">
        <v>3.2</v>
      </c>
      <c r="K925" t="str" cm="1">
        <f t="array" ref="K92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926" spans="1:11" x14ac:dyDescent="0.35">
      <c r="A926" s="16" t="s">
        <v>23</v>
      </c>
      <c r="B926" t="s">
        <v>34</v>
      </c>
      <c r="C926" t="s">
        <v>35</v>
      </c>
      <c r="D926" t="s">
        <v>32</v>
      </c>
      <c r="E926" t="s">
        <v>22</v>
      </c>
      <c r="F926" t="s">
        <v>15</v>
      </c>
      <c r="G926">
        <v>4</v>
      </c>
      <c r="H926">
        <v>4</v>
      </c>
      <c r="I926">
        <v>0</v>
      </c>
      <c r="J926">
        <v>2.2999999999999998</v>
      </c>
      <c r="K926" t="str" cm="1">
        <f t="array" ref="K92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27" spans="1:11" x14ac:dyDescent="0.35">
      <c r="A927" s="16" t="s">
        <v>50</v>
      </c>
      <c r="B927" t="s">
        <v>56</v>
      </c>
      <c r="C927" t="s">
        <v>57</v>
      </c>
      <c r="D927" t="s">
        <v>32</v>
      </c>
      <c r="E927" t="s">
        <v>53</v>
      </c>
      <c r="F927" t="s">
        <v>15</v>
      </c>
      <c r="G927">
        <v>4</v>
      </c>
      <c r="H927">
        <v>4</v>
      </c>
      <c r="I927">
        <v>1</v>
      </c>
      <c r="J927">
        <v>2.6</v>
      </c>
      <c r="K927" t="str" cm="1">
        <f t="array" ref="K92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928" spans="1:11" x14ac:dyDescent="0.35">
      <c r="A928" s="16" t="s">
        <v>59</v>
      </c>
      <c r="B928" t="s">
        <v>24</v>
      </c>
      <c r="C928" t="s">
        <v>64</v>
      </c>
      <c r="D928" t="s">
        <v>32</v>
      </c>
      <c r="E928" t="s">
        <v>22</v>
      </c>
      <c r="F928" t="s">
        <v>15</v>
      </c>
      <c r="G928">
        <v>3</v>
      </c>
      <c r="H928">
        <v>3</v>
      </c>
      <c r="I928">
        <v>0</v>
      </c>
      <c r="J928">
        <v>2.1</v>
      </c>
      <c r="K928" t="str" cm="1">
        <f t="array" ref="K92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29" spans="1:11" x14ac:dyDescent="0.35">
      <c r="A929" s="16" t="s">
        <v>10</v>
      </c>
      <c r="B929" t="s">
        <v>11</v>
      </c>
      <c r="C929" t="s">
        <v>12</v>
      </c>
      <c r="D929" t="s">
        <v>32</v>
      </c>
      <c r="E929" t="s">
        <v>14</v>
      </c>
      <c r="F929" t="s">
        <v>15</v>
      </c>
      <c r="G929">
        <v>6</v>
      </c>
      <c r="H929">
        <v>5</v>
      </c>
      <c r="I929">
        <v>0</v>
      </c>
      <c r="J929">
        <v>2.2999999999999998</v>
      </c>
      <c r="K929" t="str" cm="1">
        <f t="array" ref="K92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930" spans="1:11" x14ac:dyDescent="0.35">
      <c r="A930" s="16" t="s">
        <v>45</v>
      </c>
      <c r="B930" t="s">
        <v>56</v>
      </c>
      <c r="C930" t="s">
        <v>62</v>
      </c>
      <c r="D930" t="s">
        <v>40</v>
      </c>
      <c r="E930" t="s">
        <v>53</v>
      </c>
      <c r="F930" t="s">
        <v>15</v>
      </c>
      <c r="G930">
        <v>4</v>
      </c>
      <c r="H930">
        <v>4</v>
      </c>
      <c r="I930">
        <v>0</v>
      </c>
      <c r="J930">
        <v>2.9</v>
      </c>
      <c r="K930" t="str" cm="1">
        <f t="array" ref="K93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931" spans="1:11" x14ac:dyDescent="0.35">
      <c r="A931" s="16" t="s">
        <v>43</v>
      </c>
      <c r="B931" t="s">
        <v>34</v>
      </c>
      <c r="C931" t="s">
        <v>35</v>
      </c>
      <c r="D931" t="s">
        <v>22</v>
      </c>
      <c r="E931" t="s">
        <v>18</v>
      </c>
      <c r="F931" t="s">
        <v>19</v>
      </c>
      <c r="G931">
        <v>8</v>
      </c>
      <c r="H931">
        <v>8</v>
      </c>
      <c r="I931">
        <v>0</v>
      </c>
      <c r="J931">
        <v>3.3</v>
      </c>
      <c r="K931" t="str" cm="1">
        <f t="array" ref="K93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932" spans="1:11" x14ac:dyDescent="0.35">
      <c r="A932" s="16" t="s">
        <v>55</v>
      </c>
      <c r="B932" t="s">
        <v>34</v>
      </c>
      <c r="C932" t="s">
        <v>51</v>
      </c>
      <c r="D932" t="s">
        <v>40</v>
      </c>
      <c r="E932" t="s">
        <v>30</v>
      </c>
      <c r="F932" t="s">
        <v>15</v>
      </c>
      <c r="G932">
        <v>5</v>
      </c>
      <c r="H932">
        <v>4</v>
      </c>
      <c r="I932">
        <v>0</v>
      </c>
      <c r="J932">
        <v>3.1</v>
      </c>
      <c r="K932" t="str" cm="1">
        <f t="array" ref="K93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933" spans="1:11" x14ac:dyDescent="0.35">
      <c r="A933" s="16" t="s">
        <v>59</v>
      </c>
      <c r="B933" t="s">
        <v>16</v>
      </c>
      <c r="C933" t="s">
        <v>60</v>
      </c>
      <c r="D933" t="s">
        <v>13</v>
      </c>
      <c r="E933" t="s">
        <v>14</v>
      </c>
      <c r="F933" t="s">
        <v>19</v>
      </c>
      <c r="G933">
        <v>5</v>
      </c>
      <c r="H933">
        <v>5</v>
      </c>
      <c r="I933">
        <v>1</v>
      </c>
      <c r="J933">
        <v>2.9</v>
      </c>
      <c r="K933" t="str" cm="1">
        <f t="array" ref="K93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34" spans="1:11" x14ac:dyDescent="0.35">
      <c r="A934" s="16" t="s">
        <v>43</v>
      </c>
      <c r="B934" t="s">
        <v>34</v>
      </c>
      <c r="C934" t="s">
        <v>51</v>
      </c>
      <c r="D934" t="s">
        <v>32</v>
      </c>
      <c r="E934" t="s">
        <v>27</v>
      </c>
      <c r="F934" t="s">
        <v>19</v>
      </c>
      <c r="G934">
        <v>6</v>
      </c>
      <c r="H934">
        <v>6</v>
      </c>
      <c r="I934">
        <v>0</v>
      </c>
      <c r="J934">
        <v>1.2</v>
      </c>
      <c r="K934" t="str" cm="1">
        <f t="array" ref="K93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935" spans="1:11" x14ac:dyDescent="0.35">
      <c r="A935" s="16" t="s">
        <v>45</v>
      </c>
      <c r="B935" t="s">
        <v>37</v>
      </c>
      <c r="C935" t="s">
        <v>39</v>
      </c>
      <c r="D935" t="s">
        <v>13</v>
      </c>
      <c r="E935" t="s">
        <v>30</v>
      </c>
      <c r="F935" t="s">
        <v>19</v>
      </c>
      <c r="G935">
        <v>4</v>
      </c>
      <c r="H935">
        <v>4</v>
      </c>
      <c r="I935">
        <v>1</v>
      </c>
      <c r="J935">
        <v>2.2999999999999998</v>
      </c>
      <c r="K935" t="str" cm="1">
        <f t="array" ref="K93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936" spans="1:11" x14ac:dyDescent="0.35">
      <c r="A936" s="16" t="s">
        <v>45</v>
      </c>
      <c r="B936" t="s">
        <v>11</v>
      </c>
      <c r="C936" t="s">
        <v>52</v>
      </c>
      <c r="D936" t="s">
        <v>26</v>
      </c>
      <c r="E936" t="s">
        <v>22</v>
      </c>
      <c r="F936" t="s">
        <v>15</v>
      </c>
      <c r="G936">
        <v>5</v>
      </c>
      <c r="H936">
        <v>5</v>
      </c>
      <c r="I936">
        <v>1</v>
      </c>
      <c r="J936">
        <v>2.9</v>
      </c>
      <c r="K936" t="str" cm="1">
        <f t="array" ref="K93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937" spans="1:11" x14ac:dyDescent="0.35">
      <c r="A937" s="16" t="s">
        <v>20</v>
      </c>
      <c r="B937" t="s">
        <v>37</v>
      </c>
      <c r="C937" t="s">
        <v>38</v>
      </c>
      <c r="D937" t="s">
        <v>40</v>
      </c>
      <c r="E937" t="s">
        <v>18</v>
      </c>
      <c r="F937" t="s">
        <v>19</v>
      </c>
      <c r="G937">
        <v>5</v>
      </c>
      <c r="H937">
        <v>5</v>
      </c>
      <c r="I937">
        <v>0</v>
      </c>
      <c r="J937">
        <v>3.8</v>
      </c>
      <c r="K937" t="str" cm="1">
        <f t="array" ref="K93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938" spans="1:11" x14ac:dyDescent="0.35">
      <c r="A938" s="16" t="s">
        <v>59</v>
      </c>
      <c r="B938" t="s">
        <v>34</v>
      </c>
      <c r="C938" t="s">
        <v>35</v>
      </c>
      <c r="D938" t="s">
        <v>40</v>
      </c>
      <c r="E938" t="s">
        <v>14</v>
      </c>
      <c r="F938" t="s">
        <v>19</v>
      </c>
      <c r="G938">
        <v>4</v>
      </c>
      <c r="H938">
        <v>4</v>
      </c>
      <c r="I938">
        <v>0</v>
      </c>
      <c r="J938">
        <v>1</v>
      </c>
      <c r="K938" t="str" cm="1">
        <f t="array" ref="K93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39" spans="1:11" x14ac:dyDescent="0.35">
      <c r="A939" s="16" t="s">
        <v>59</v>
      </c>
      <c r="B939" t="s">
        <v>16</v>
      </c>
      <c r="C939" t="s">
        <v>60</v>
      </c>
      <c r="D939" t="s">
        <v>40</v>
      </c>
      <c r="E939" t="s">
        <v>30</v>
      </c>
      <c r="F939" t="s">
        <v>15</v>
      </c>
      <c r="G939">
        <v>8</v>
      </c>
      <c r="H939">
        <v>7</v>
      </c>
      <c r="I939">
        <v>1</v>
      </c>
      <c r="J939">
        <v>3.5</v>
      </c>
      <c r="K939" t="str" cm="1">
        <f t="array" ref="K93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40" spans="1:11" x14ac:dyDescent="0.35">
      <c r="A940" s="16" t="s">
        <v>31</v>
      </c>
      <c r="B940" t="s">
        <v>34</v>
      </c>
      <c r="C940" t="s">
        <v>51</v>
      </c>
      <c r="D940" t="s">
        <v>22</v>
      </c>
      <c r="E940" t="s">
        <v>18</v>
      </c>
      <c r="F940" t="s">
        <v>15</v>
      </c>
      <c r="G940">
        <v>4</v>
      </c>
      <c r="H940">
        <v>4</v>
      </c>
      <c r="I940">
        <v>0</v>
      </c>
      <c r="J940">
        <v>4.7</v>
      </c>
      <c r="K940" t="str" cm="1">
        <f t="array" ref="K94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941" spans="1:11" x14ac:dyDescent="0.35">
      <c r="A941" s="16" t="s">
        <v>20</v>
      </c>
      <c r="B941" t="s">
        <v>28</v>
      </c>
      <c r="C941" t="s">
        <v>58</v>
      </c>
      <c r="D941" t="s">
        <v>32</v>
      </c>
      <c r="E941" t="s">
        <v>30</v>
      </c>
      <c r="F941" t="s">
        <v>19</v>
      </c>
      <c r="G941">
        <v>4</v>
      </c>
      <c r="H941">
        <v>3</v>
      </c>
      <c r="I941">
        <v>0</v>
      </c>
      <c r="J941">
        <v>2.1</v>
      </c>
      <c r="K941" t="str" cm="1">
        <f t="array" ref="K94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942" spans="1:11" x14ac:dyDescent="0.35">
      <c r="A942" s="16" t="s">
        <v>50</v>
      </c>
      <c r="B942" t="s">
        <v>37</v>
      </c>
      <c r="C942" t="s">
        <v>39</v>
      </c>
      <c r="D942" t="s">
        <v>13</v>
      </c>
      <c r="E942" t="s">
        <v>22</v>
      </c>
      <c r="F942" t="s">
        <v>19</v>
      </c>
      <c r="G942">
        <v>8</v>
      </c>
      <c r="H942">
        <v>8</v>
      </c>
      <c r="I942">
        <v>0</v>
      </c>
      <c r="J942">
        <v>2</v>
      </c>
      <c r="K942" t="str" cm="1">
        <f t="array" ref="K94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943" spans="1:11" x14ac:dyDescent="0.35">
      <c r="A943" s="16" t="s">
        <v>10</v>
      </c>
      <c r="B943" t="s">
        <v>37</v>
      </c>
      <c r="C943" t="s">
        <v>39</v>
      </c>
      <c r="D943" t="s">
        <v>40</v>
      </c>
      <c r="E943" t="s">
        <v>18</v>
      </c>
      <c r="F943" t="s">
        <v>19</v>
      </c>
      <c r="G943">
        <v>2</v>
      </c>
      <c r="H943">
        <v>2</v>
      </c>
      <c r="I943">
        <v>0</v>
      </c>
      <c r="J943">
        <v>3.5</v>
      </c>
      <c r="K943" t="str" cm="1">
        <f t="array" ref="K94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944" spans="1:11" x14ac:dyDescent="0.35">
      <c r="A944" s="16" t="s">
        <v>55</v>
      </c>
      <c r="B944" t="s">
        <v>37</v>
      </c>
      <c r="C944" t="s">
        <v>38</v>
      </c>
      <c r="D944" t="s">
        <v>13</v>
      </c>
      <c r="E944" t="s">
        <v>53</v>
      </c>
      <c r="F944" t="s">
        <v>19</v>
      </c>
      <c r="G944">
        <v>8</v>
      </c>
      <c r="H944">
        <v>8</v>
      </c>
      <c r="I944">
        <v>1</v>
      </c>
      <c r="J944">
        <v>3.3</v>
      </c>
      <c r="K944" t="str" cm="1">
        <f t="array" ref="K94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945" spans="1:11" x14ac:dyDescent="0.35">
      <c r="A945" s="16" t="s">
        <v>23</v>
      </c>
      <c r="B945" t="s">
        <v>11</v>
      </c>
      <c r="C945" t="s">
        <v>12</v>
      </c>
      <c r="D945" t="s">
        <v>13</v>
      </c>
      <c r="E945" t="s">
        <v>18</v>
      </c>
      <c r="F945" t="s">
        <v>19</v>
      </c>
      <c r="G945">
        <v>7</v>
      </c>
      <c r="H945">
        <v>7</v>
      </c>
      <c r="I945">
        <v>0</v>
      </c>
      <c r="J945">
        <v>4.7</v>
      </c>
      <c r="K945" t="str" cm="1">
        <f t="array" ref="K94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46" spans="1:11" x14ac:dyDescent="0.35">
      <c r="A946" s="16" t="s">
        <v>45</v>
      </c>
      <c r="B946" t="s">
        <v>24</v>
      </c>
      <c r="C946" t="s">
        <v>25</v>
      </c>
      <c r="D946" t="s">
        <v>32</v>
      </c>
      <c r="E946" t="s">
        <v>18</v>
      </c>
      <c r="F946" t="s">
        <v>15</v>
      </c>
      <c r="G946">
        <v>7</v>
      </c>
      <c r="H946">
        <v>7</v>
      </c>
      <c r="I946">
        <v>1</v>
      </c>
      <c r="J946">
        <v>4.2</v>
      </c>
      <c r="K946" t="str" cm="1">
        <f t="array" ref="K94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947" spans="1:11" x14ac:dyDescent="0.35">
      <c r="A947" s="16" t="s">
        <v>20</v>
      </c>
      <c r="B947" t="s">
        <v>48</v>
      </c>
      <c r="C947" t="s">
        <v>63</v>
      </c>
      <c r="D947" t="s">
        <v>21</v>
      </c>
      <c r="E947" t="s">
        <v>14</v>
      </c>
      <c r="F947" t="s">
        <v>19</v>
      </c>
      <c r="G947">
        <v>2</v>
      </c>
      <c r="H947">
        <v>1</v>
      </c>
      <c r="I947">
        <v>0</v>
      </c>
      <c r="J947">
        <v>3</v>
      </c>
      <c r="K947" t="str" cm="1">
        <f t="array" ref="K94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948" spans="1:11" x14ac:dyDescent="0.35">
      <c r="A948" s="16" t="s">
        <v>36</v>
      </c>
      <c r="B948" t="s">
        <v>37</v>
      </c>
      <c r="C948" t="s">
        <v>39</v>
      </c>
      <c r="D948" t="s">
        <v>13</v>
      </c>
      <c r="E948" t="s">
        <v>22</v>
      </c>
      <c r="F948" t="s">
        <v>19</v>
      </c>
      <c r="G948">
        <v>3</v>
      </c>
      <c r="H948">
        <v>3</v>
      </c>
      <c r="I948">
        <v>0</v>
      </c>
      <c r="J948">
        <v>3.5</v>
      </c>
      <c r="K948" t="str" cm="1">
        <f t="array" ref="K94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949" spans="1:11" x14ac:dyDescent="0.35">
      <c r="A949" s="16" t="s">
        <v>55</v>
      </c>
      <c r="B949" t="s">
        <v>11</v>
      </c>
      <c r="C949" t="s">
        <v>12</v>
      </c>
      <c r="D949" t="s">
        <v>21</v>
      </c>
      <c r="E949" t="s">
        <v>30</v>
      </c>
      <c r="F949" t="s">
        <v>19</v>
      </c>
      <c r="G949">
        <v>6</v>
      </c>
      <c r="H949">
        <v>5</v>
      </c>
      <c r="I949">
        <v>0</v>
      </c>
      <c r="J949">
        <v>3.6</v>
      </c>
      <c r="K949" t="str" cm="1">
        <f t="array" ref="K94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950" spans="1:11" x14ac:dyDescent="0.35">
      <c r="A950" s="16" t="s">
        <v>50</v>
      </c>
      <c r="B950" t="s">
        <v>41</v>
      </c>
      <c r="C950" t="s">
        <v>44</v>
      </c>
      <c r="D950" t="s">
        <v>26</v>
      </c>
      <c r="E950" t="s">
        <v>14</v>
      </c>
      <c r="F950" t="s">
        <v>15</v>
      </c>
      <c r="G950">
        <v>3</v>
      </c>
      <c r="H950">
        <v>3</v>
      </c>
      <c r="I950">
        <v>0</v>
      </c>
      <c r="J950">
        <v>3.4</v>
      </c>
      <c r="K950" t="str" cm="1">
        <f t="array" ref="K95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951" spans="1:11" x14ac:dyDescent="0.35">
      <c r="A951" s="16" t="s">
        <v>59</v>
      </c>
      <c r="B951" t="s">
        <v>56</v>
      </c>
      <c r="C951" t="s">
        <v>57</v>
      </c>
      <c r="D951" t="s">
        <v>22</v>
      </c>
      <c r="E951" t="s">
        <v>18</v>
      </c>
      <c r="F951" t="s">
        <v>19</v>
      </c>
      <c r="G951">
        <v>4</v>
      </c>
      <c r="H951">
        <v>3</v>
      </c>
      <c r="I951">
        <v>0</v>
      </c>
      <c r="J951">
        <v>1.6</v>
      </c>
      <c r="K951" t="str" cm="1">
        <f t="array" ref="K95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52" spans="1:11" x14ac:dyDescent="0.35">
      <c r="A952" s="16" t="s">
        <v>20</v>
      </c>
      <c r="B952" t="s">
        <v>28</v>
      </c>
      <c r="C952" t="s">
        <v>58</v>
      </c>
      <c r="D952" t="s">
        <v>21</v>
      </c>
      <c r="E952" t="s">
        <v>14</v>
      </c>
      <c r="F952" t="s">
        <v>19</v>
      </c>
      <c r="G952">
        <v>3</v>
      </c>
      <c r="H952">
        <v>3</v>
      </c>
      <c r="I952">
        <v>0</v>
      </c>
      <c r="J952">
        <v>2.4</v>
      </c>
      <c r="K952" t="str" cm="1">
        <f t="array" ref="K95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953" spans="1:11" x14ac:dyDescent="0.35">
      <c r="A953" s="16" t="s">
        <v>50</v>
      </c>
      <c r="B953" t="s">
        <v>56</v>
      </c>
      <c r="C953" t="s">
        <v>57</v>
      </c>
      <c r="D953" t="s">
        <v>22</v>
      </c>
      <c r="E953" t="s">
        <v>22</v>
      </c>
      <c r="F953" t="s">
        <v>15</v>
      </c>
      <c r="G953">
        <v>5</v>
      </c>
      <c r="H953">
        <v>5</v>
      </c>
      <c r="I953">
        <v>0</v>
      </c>
      <c r="J953">
        <v>2.2999999999999998</v>
      </c>
      <c r="K953" t="str" cm="1">
        <f t="array" ref="K95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954" spans="1:11" x14ac:dyDescent="0.35">
      <c r="A954" s="16" t="s">
        <v>59</v>
      </c>
      <c r="B954" t="s">
        <v>16</v>
      </c>
      <c r="C954" t="s">
        <v>60</v>
      </c>
      <c r="D954" t="s">
        <v>13</v>
      </c>
      <c r="E954" t="s">
        <v>30</v>
      </c>
      <c r="F954" t="s">
        <v>19</v>
      </c>
      <c r="G954">
        <v>3</v>
      </c>
      <c r="H954">
        <v>2</v>
      </c>
      <c r="I954">
        <v>0</v>
      </c>
      <c r="J954">
        <v>1.4</v>
      </c>
      <c r="K954" t="str" cm="1">
        <f t="array" ref="K95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55" spans="1:11" x14ac:dyDescent="0.35">
      <c r="A955" s="16" t="s">
        <v>23</v>
      </c>
      <c r="B955" t="s">
        <v>46</v>
      </c>
      <c r="C955" t="s">
        <v>47</v>
      </c>
      <c r="D955" t="s">
        <v>13</v>
      </c>
      <c r="E955" t="s">
        <v>18</v>
      </c>
      <c r="F955" t="s">
        <v>19</v>
      </c>
      <c r="G955">
        <v>3</v>
      </c>
      <c r="H955">
        <v>3</v>
      </c>
      <c r="I955">
        <v>0</v>
      </c>
      <c r="J955">
        <v>4.0999999999999996</v>
      </c>
      <c r="K955" t="str" cm="1">
        <f t="array" ref="K95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56" spans="1:11" x14ac:dyDescent="0.35">
      <c r="A956" s="16" t="s">
        <v>23</v>
      </c>
      <c r="B956" t="s">
        <v>16</v>
      </c>
      <c r="C956" t="s">
        <v>17</v>
      </c>
      <c r="D956" t="s">
        <v>22</v>
      </c>
      <c r="E956" t="s">
        <v>14</v>
      </c>
      <c r="F956" t="s">
        <v>19</v>
      </c>
      <c r="G956">
        <v>2</v>
      </c>
      <c r="H956">
        <v>2</v>
      </c>
      <c r="I956">
        <v>0</v>
      </c>
      <c r="J956">
        <v>3.1</v>
      </c>
      <c r="K956" t="str" cm="1">
        <f t="array" ref="K95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57" spans="1:11" x14ac:dyDescent="0.35">
      <c r="A957" s="16" t="s">
        <v>23</v>
      </c>
      <c r="B957" t="s">
        <v>34</v>
      </c>
      <c r="C957" t="s">
        <v>35</v>
      </c>
      <c r="D957" t="s">
        <v>32</v>
      </c>
      <c r="E957" t="s">
        <v>27</v>
      </c>
      <c r="F957" t="s">
        <v>15</v>
      </c>
      <c r="G957">
        <v>6</v>
      </c>
      <c r="H957">
        <v>6</v>
      </c>
      <c r="I957">
        <v>1</v>
      </c>
      <c r="J957">
        <v>3.5</v>
      </c>
      <c r="K957" t="str" cm="1">
        <f t="array" ref="K95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58" spans="1:11" x14ac:dyDescent="0.35">
      <c r="A958" s="16" t="s">
        <v>36</v>
      </c>
      <c r="B958" t="s">
        <v>24</v>
      </c>
      <c r="C958" t="s">
        <v>64</v>
      </c>
      <c r="D958" t="s">
        <v>13</v>
      </c>
      <c r="E958" t="s">
        <v>18</v>
      </c>
      <c r="F958" t="s">
        <v>15</v>
      </c>
      <c r="G958">
        <v>4</v>
      </c>
      <c r="H958">
        <v>3</v>
      </c>
      <c r="I958">
        <v>0</v>
      </c>
      <c r="J958">
        <v>4.9000000000000004</v>
      </c>
      <c r="K958" t="str" cm="1">
        <f t="array" ref="K95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959" spans="1:11" x14ac:dyDescent="0.35">
      <c r="A959" s="16" t="s">
        <v>23</v>
      </c>
      <c r="B959" t="s">
        <v>34</v>
      </c>
      <c r="C959" t="s">
        <v>51</v>
      </c>
      <c r="D959" t="s">
        <v>26</v>
      </c>
      <c r="E959" t="s">
        <v>53</v>
      </c>
      <c r="F959" t="s">
        <v>19</v>
      </c>
      <c r="G959">
        <v>7</v>
      </c>
      <c r="H959">
        <v>7</v>
      </c>
      <c r="I959">
        <v>0</v>
      </c>
      <c r="J959">
        <v>3.3</v>
      </c>
      <c r="K959" t="str" cm="1">
        <f t="array" ref="K95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60" spans="1:11" x14ac:dyDescent="0.35">
      <c r="A960" s="16" t="s">
        <v>61</v>
      </c>
      <c r="B960" t="s">
        <v>16</v>
      </c>
      <c r="C960" t="s">
        <v>60</v>
      </c>
      <c r="D960" t="s">
        <v>32</v>
      </c>
      <c r="E960" t="s">
        <v>14</v>
      </c>
      <c r="F960" t="s">
        <v>15</v>
      </c>
      <c r="G960">
        <v>4</v>
      </c>
      <c r="H960">
        <v>4</v>
      </c>
      <c r="I960">
        <v>0</v>
      </c>
      <c r="J960">
        <v>3</v>
      </c>
      <c r="K960" t="str" cm="1">
        <f t="array" ref="K96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961" spans="1:11" x14ac:dyDescent="0.35">
      <c r="A961" s="16" t="s">
        <v>43</v>
      </c>
      <c r="B961" t="s">
        <v>37</v>
      </c>
      <c r="C961" t="s">
        <v>38</v>
      </c>
      <c r="D961" t="s">
        <v>26</v>
      </c>
      <c r="E961" t="s">
        <v>14</v>
      </c>
      <c r="F961" t="s">
        <v>15</v>
      </c>
      <c r="G961">
        <v>2</v>
      </c>
      <c r="H961">
        <v>2</v>
      </c>
      <c r="I961">
        <v>0</v>
      </c>
      <c r="J961">
        <v>3.2</v>
      </c>
      <c r="K961" t="str" cm="1">
        <f t="array" ref="K96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February</v>
      </c>
    </row>
    <row r="962" spans="1:11" x14ac:dyDescent="0.35">
      <c r="A962" s="16" t="s">
        <v>33</v>
      </c>
      <c r="B962" t="s">
        <v>16</v>
      </c>
      <c r="C962" t="s">
        <v>17</v>
      </c>
      <c r="D962" t="s">
        <v>40</v>
      </c>
      <c r="E962" t="s">
        <v>18</v>
      </c>
      <c r="F962" t="s">
        <v>19</v>
      </c>
      <c r="G962">
        <v>3</v>
      </c>
      <c r="H962">
        <v>3</v>
      </c>
      <c r="I962">
        <v>0</v>
      </c>
      <c r="J962">
        <v>1.8</v>
      </c>
      <c r="K962" t="str" cm="1">
        <f t="array" ref="K96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963" spans="1:11" x14ac:dyDescent="0.35">
      <c r="A963" s="16" t="s">
        <v>33</v>
      </c>
      <c r="B963" t="s">
        <v>46</v>
      </c>
      <c r="C963" t="s">
        <v>54</v>
      </c>
      <c r="D963" t="s">
        <v>32</v>
      </c>
      <c r="E963" t="s">
        <v>30</v>
      </c>
      <c r="F963" t="s">
        <v>15</v>
      </c>
      <c r="G963">
        <v>5</v>
      </c>
      <c r="H963">
        <v>5</v>
      </c>
      <c r="I963">
        <v>0</v>
      </c>
      <c r="J963">
        <v>3.4</v>
      </c>
      <c r="K963" t="str" cm="1">
        <f t="array" ref="K96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964" spans="1:11" x14ac:dyDescent="0.35">
      <c r="A964" s="16" t="s">
        <v>10</v>
      </c>
      <c r="B964" t="s">
        <v>34</v>
      </c>
      <c r="C964" t="s">
        <v>51</v>
      </c>
      <c r="D964" t="s">
        <v>26</v>
      </c>
      <c r="E964" t="s">
        <v>27</v>
      </c>
      <c r="F964" t="s">
        <v>19</v>
      </c>
      <c r="G964">
        <v>3</v>
      </c>
      <c r="H964">
        <v>3</v>
      </c>
      <c r="I964">
        <v>0</v>
      </c>
      <c r="J964">
        <v>2.6</v>
      </c>
      <c r="K964" t="str" cm="1">
        <f t="array" ref="K96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965" spans="1:11" x14ac:dyDescent="0.35">
      <c r="A965" s="16" t="s">
        <v>10</v>
      </c>
      <c r="B965" t="s">
        <v>28</v>
      </c>
      <c r="C965" t="s">
        <v>58</v>
      </c>
      <c r="D965" t="s">
        <v>22</v>
      </c>
      <c r="E965" t="s">
        <v>53</v>
      </c>
      <c r="F965" t="s">
        <v>15</v>
      </c>
      <c r="G965">
        <v>3</v>
      </c>
      <c r="H965">
        <v>3</v>
      </c>
      <c r="I965">
        <v>0</v>
      </c>
      <c r="J965">
        <v>3.3</v>
      </c>
      <c r="K965" t="str" cm="1">
        <f t="array" ref="K96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966" spans="1:11" x14ac:dyDescent="0.35">
      <c r="A966" s="16" t="s">
        <v>10</v>
      </c>
      <c r="B966" t="s">
        <v>11</v>
      </c>
      <c r="C966" t="s">
        <v>52</v>
      </c>
      <c r="D966" t="s">
        <v>40</v>
      </c>
      <c r="E966" t="s">
        <v>30</v>
      </c>
      <c r="F966" t="s">
        <v>15</v>
      </c>
      <c r="G966">
        <v>6</v>
      </c>
      <c r="H966">
        <v>5</v>
      </c>
      <c r="I966">
        <v>0</v>
      </c>
      <c r="J966">
        <v>3.8</v>
      </c>
      <c r="K966" t="str" cm="1">
        <f t="array" ref="K96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967" spans="1:11" x14ac:dyDescent="0.35">
      <c r="A967" s="16" t="s">
        <v>55</v>
      </c>
      <c r="B967" t="s">
        <v>48</v>
      </c>
      <c r="C967" t="s">
        <v>63</v>
      </c>
      <c r="D967" t="s">
        <v>22</v>
      </c>
      <c r="E967" t="s">
        <v>30</v>
      </c>
      <c r="F967" t="s">
        <v>15</v>
      </c>
      <c r="G967">
        <v>6</v>
      </c>
      <c r="H967">
        <v>6</v>
      </c>
      <c r="I967">
        <v>0</v>
      </c>
      <c r="J967">
        <v>4.9000000000000004</v>
      </c>
      <c r="K967" t="str" cm="1">
        <f t="array" ref="K96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968" spans="1:11" x14ac:dyDescent="0.35">
      <c r="A968" s="16" t="s">
        <v>31</v>
      </c>
      <c r="B968" t="s">
        <v>28</v>
      </c>
      <c r="C968" t="s">
        <v>29</v>
      </c>
      <c r="D968" t="s">
        <v>13</v>
      </c>
      <c r="E968" t="s">
        <v>22</v>
      </c>
      <c r="F968" t="s">
        <v>15</v>
      </c>
      <c r="G968">
        <v>4</v>
      </c>
      <c r="H968">
        <v>4</v>
      </c>
      <c r="I968">
        <v>0</v>
      </c>
      <c r="J968">
        <v>2.9</v>
      </c>
      <c r="K968" t="str" cm="1">
        <f t="array" ref="K96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969" spans="1:11" x14ac:dyDescent="0.35">
      <c r="A969" s="16" t="s">
        <v>45</v>
      </c>
      <c r="B969" t="s">
        <v>28</v>
      </c>
      <c r="C969" t="s">
        <v>58</v>
      </c>
      <c r="D969" t="s">
        <v>26</v>
      </c>
      <c r="E969" t="s">
        <v>22</v>
      </c>
      <c r="F969" t="s">
        <v>15</v>
      </c>
      <c r="G969">
        <v>6</v>
      </c>
      <c r="H969">
        <v>6</v>
      </c>
      <c r="I969">
        <v>0</v>
      </c>
      <c r="J969">
        <v>1.3</v>
      </c>
      <c r="K969" t="str" cm="1">
        <f t="array" ref="K96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970" spans="1:11" x14ac:dyDescent="0.35">
      <c r="A970" s="16" t="s">
        <v>36</v>
      </c>
      <c r="B970" t="s">
        <v>11</v>
      </c>
      <c r="C970" t="s">
        <v>52</v>
      </c>
      <c r="D970" t="s">
        <v>22</v>
      </c>
      <c r="E970" t="s">
        <v>53</v>
      </c>
      <c r="F970" t="s">
        <v>19</v>
      </c>
      <c r="G970">
        <v>7</v>
      </c>
      <c r="H970">
        <v>7</v>
      </c>
      <c r="I970">
        <v>2</v>
      </c>
      <c r="J970">
        <v>2.6</v>
      </c>
      <c r="K970" t="str" cm="1">
        <f t="array" ref="K97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971" spans="1:11" x14ac:dyDescent="0.35">
      <c r="A971" s="16" t="s">
        <v>10</v>
      </c>
      <c r="B971" t="s">
        <v>28</v>
      </c>
      <c r="C971" t="s">
        <v>58</v>
      </c>
      <c r="D971" t="s">
        <v>22</v>
      </c>
      <c r="E971" t="s">
        <v>18</v>
      </c>
      <c r="F971" t="s">
        <v>15</v>
      </c>
      <c r="G971">
        <v>5</v>
      </c>
      <c r="H971">
        <v>4</v>
      </c>
      <c r="I971">
        <v>0</v>
      </c>
      <c r="J971">
        <v>3.7</v>
      </c>
      <c r="K971" t="str" cm="1">
        <f t="array" ref="K97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972" spans="1:11" x14ac:dyDescent="0.35">
      <c r="A972" s="16" t="s">
        <v>36</v>
      </c>
      <c r="B972" t="s">
        <v>48</v>
      </c>
      <c r="C972" t="s">
        <v>63</v>
      </c>
      <c r="D972" t="s">
        <v>21</v>
      </c>
      <c r="E972" t="s">
        <v>27</v>
      </c>
      <c r="F972" t="s">
        <v>15</v>
      </c>
      <c r="G972">
        <v>5</v>
      </c>
      <c r="H972">
        <v>5</v>
      </c>
      <c r="I972">
        <v>1</v>
      </c>
      <c r="J972">
        <v>3.5</v>
      </c>
      <c r="K972" t="str" cm="1">
        <f t="array" ref="K97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973" spans="1:11" x14ac:dyDescent="0.35">
      <c r="A973" s="16" t="s">
        <v>31</v>
      </c>
      <c r="B973" t="s">
        <v>28</v>
      </c>
      <c r="C973" t="s">
        <v>58</v>
      </c>
      <c r="D973" t="s">
        <v>13</v>
      </c>
      <c r="E973" t="s">
        <v>30</v>
      </c>
      <c r="F973" t="s">
        <v>19</v>
      </c>
      <c r="G973">
        <v>4</v>
      </c>
      <c r="H973">
        <v>4</v>
      </c>
      <c r="I973">
        <v>1</v>
      </c>
      <c r="J973">
        <v>2.7</v>
      </c>
      <c r="K973" t="str" cm="1">
        <f t="array" ref="K97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August</v>
      </c>
    </row>
    <row r="974" spans="1:11" x14ac:dyDescent="0.35">
      <c r="A974" s="16" t="s">
        <v>55</v>
      </c>
      <c r="B974" t="s">
        <v>46</v>
      </c>
      <c r="C974" t="s">
        <v>54</v>
      </c>
      <c r="D974" t="s">
        <v>13</v>
      </c>
      <c r="E974" t="s">
        <v>53</v>
      </c>
      <c r="F974" t="s">
        <v>19</v>
      </c>
      <c r="G974">
        <v>3</v>
      </c>
      <c r="H974">
        <v>3</v>
      </c>
      <c r="I974">
        <v>0</v>
      </c>
      <c r="J974">
        <v>3.1</v>
      </c>
      <c r="K974" t="str" cm="1">
        <f t="array" ref="K97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975" spans="1:11" x14ac:dyDescent="0.35">
      <c r="A975" s="16" t="s">
        <v>50</v>
      </c>
      <c r="B975" t="s">
        <v>34</v>
      </c>
      <c r="C975" t="s">
        <v>51</v>
      </c>
      <c r="D975" t="s">
        <v>32</v>
      </c>
      <c r="E975" t="s">
        <v>22</v>
      </c>
      <c r="F975" t="s">
        <v>19</v>
      </c>
      <c r="G975">
        <v>5</v>
      </c>
      <c r="H975">
        <v>4</v>
      </c>
      <c r="I975">
        <v>0</v>
      </c>
      <c r="J975">
        <v>2.2999999999999998</v>
      </c>
      <c r="K975" t="str" cm="1">
        <f t="array" ref="K97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976" spans="1:11" x14ac:dyDescent="0.35">
      <c r="A976" s="16" t="s">
        <v>59</v>
      </c>
      <c r="B976" t="s">
        <v>37</v>
      </c>
      <c r="C976" t="s">
        <v>39</v>
      </c>
      <c r="D976" t="s">
        <v>13</v>
      </c>
      <c r="E976" t="s">
        <v>14</v>
      </c>
      <c r="F976" t="s">
        <v>15</v>
      </c>
      <c r="G976">
        <v>6</v>
      </c>
      <c r="H976">
        <v>4</v>
      </c>
      <c r="I976">
        <v>0</v>
      </c>
      <c r="J976">
        <v>2.7</v>
      </c>
      <c r="K976" t="str" cm="1">
        <f t="array" ref="K97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77" spans="1:11" x14ac:dyDescent="0.35">
      <c r="A977" s="16" t="s">
        <v>33</v>
      </c>
      <c r="B977" t="s">
        <v>37</v>
      </c>
      <c r="C977" t="s">
        <v>39</v>
      </c>
      <c r="D977" t="s">
        <v>22</v>
      </c>
      <c r="E977" t="s">
        <v>27</v>
      </c>
      <c r="F977" t="s">
        <v>19</v>
      </c>
      <c r="G977">
        <v>4</v>
      </c>
      <c r="H977">
        <v>4</v>
      </c>
      <c r="I977">
        <v>0</v>
      </c>
      <c r="J977">
        <v>2.2999999999999998</v>
      </c>
      <c r="K977" t="str" cm="1">
        <f t="array" ref="K97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978" spans="1:11" x14ac:dyDescent="0.35">
      <c r="A978" s="16" t="s">
        <v>50</v>
      </c>
      <c r="B978" t="s">
        <v>48</v>
      </c>
      <c r="C978" t="s">
        <v>49</v>
      </c>
      <c r="D978" t="s">
        <v>32</v>
      </c>
      <c r="E978" t="s">
        <v>27</v>
      </c>
      <c r="F978" t="s">
        <v>19</v>
      </c>
      <c r="G978">
        <v>5</v>
      </c>
      <c r="H978">
        <v>4</v>
      </c>
      <c r="I978">
        <v>2</v>
      </c>
      <c r="J978">
        <v>2.7</v>
      </c>
      <c r="K978" t="str" cm="1">
        <f t="array" ref="K97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July</v>
      </c>
    </row>
    <row r="979" spans="1:11" x14ac:dyDescent="0.35">
      <c r="A979" s="16" t="s">
        <v>23</v>
      </c>
      <c r="B979" t="s">
        <v>37</v>
      </c>
      <c r="C979" t="s">
        <v>38</v>
      </c>
      <c r="D979" t="s">
        <v>22</v>
      </c>
      <c r="E979" t="s">
        <v>53</v>
      </c>
      <c r="F979" t="s">
        <v>15</v>
      </c>
      <c r="G979">
        <v>3</v>
      </c>
      <c r="H979">
        <v>2</v>
      </c>
      <c r="I979">
        <v>0</v>
      </c>
      <c r="J979">
        <v>3</v>
      </c>
      <c r="K979" t="str" cm="1">
        <f t="array" ref="K97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80" spans="1:11" x14ac:dyDescent="0.35">
      <c r="A980" s="16" t="s">
        <v>59</v>
      </c>
      <c r="B980" t="s">
        <v>48</v>
      </c>
      <c r="C980" t="s">
        <v>49</v>
      </c>
      <c r="D980" t="s">
        <v>22</v>
      </c>
      <c r="E980" t="s">
        <v>53</v>
      </c>
      <c r="F980" t="s">
        <v>15</v>
      </c>
      <c r="G980">
        <v>12</v>
      </c>
      <c r="H980">
        <v>12</v>
      </c>
      <c r="I980">
        <v>0</v>
      </c>
      <c r="J980">
        <v>4.3</v>
      </c>
      <c r="K980" t="str" cm="1">
        <f t="array" ref="K98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81" spans="1:11" x14ac:dyDescent="0.35">
      <c r="A981" s="16" t="s">
        <v>61</v>
      </c>
      <c r="B981" t="s">
        <v>24</v>
      </c>
      <c r="C981" t="s">
        <v>25</v>
      </c>
      <c r="D981" t="s">
        <v>26</v>
      </c>
      <c r="E981" t="s">
        <v>30</v>
      </c>
      <c r="F981" t="s">
        <v>19</v>
      </c>
      <c r="G981">
        <v>3</v>
      </c>
      <c r="H981">
        <v>3</v>
      </c>
      <c r="I981">
        <v>0</v>
      </c>
      <c r="J981">
        <v>3.1</v>
      </c>
      <c r="K981" t="str" cm="1">
        <f t="array" ref="K98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982" spans="1:11" x14ac:dyDescent="0.35">
      <c r="A982" s="16" t="s">
        <v>59</v>
      </c>
      <c r="B982" t="s">
        <v>28</v>
      </c>
      <c r="C982" t="s">
        <v>29</v>
      </c>
      <c r="D982" t="s">
        <v>13</v>
      </c>
      <c r="E982" t="s">
        <v>14</v>
      </c>
      <c r="F982" t="s">
        <v>15</v>
      </c>
      <c r="G982">
        <v>4</v>
      </c>
      <c r="H982">
        <v>2</v>
      </c>
      <c r="I982">
        <v>0</v>
      </c>
      <c r="J982">
        <v>2.4</v>
      </c>
      <c r="K982" t="str" cm="1">
        <f t="array" ref="K98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83" spans="1:11" x14ac:dyDescent="0.35">
      <c r="A983" s="16" t="s">
        <v>23</v>
      </c>
      <c r="B983" t="s">
        <v>41</v>
      </c>
      <c r="C983" t="s">
        <v>42</v>
      </c>
      <c r="D983" t="s">
        <v>32</v>
      </c>
      <c r="E983" t="s">
        <v>22</v>
      </c>
      <c r="F983" t="s">
        <v>15</v>
      </c>
      <c r="G983">
        <v>6</v>
      </c>
      <c r="H983">
        <v>6</v>
      </c>
      <c r="I983">
        <v>0</v>
      </c>
      <c r="J983">
        <v>2.5</v>
      </c>
      <c r="K983" t="str" cm="1">
        <f t="array" ref="K98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84" spans="1:11" x14ac:dyDescent="0.35">
      <c r="A984" s="16" t="s">
        <v>36</v>
      </c>
      <c r="B984" t="s">
        <v>41</v>
      </c>
      <c r="C984" t="s">
        <v>44</v>
      </c>
      <c r="D984" t="s">
        <v>32</v>
      </c>
      <c r="E984" t="s">
        <v>18</v>
      </c>
      <c r="F984" t="s">
        <v>19</v>
      </c>
      <c r="G984">
        <v>8</v>
      </c>
      <c r="H984">
        <v>6</v>
      </c>
      <c r="I984">
        <v>0</v>
      </c>
      <c r="J984">
        <v>1.1000000000000001</v>
      </c>
      <c r="K984" t="str" cm="1">
        <f t="array" ref="K98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March</v>
      </c>
    </row>
    <row r="985" spans="1:11" x14ac:dyDescent="0.35">
      <c r="A985" s="16" t="s">
        <v>59</v>
      </c>
      <c r="B985" t="s">
        <v>56</v>
      </c>
      <c r="C985" t="s">
        <v>62</v>
      </c>
      <c r="D985" t="s">
        <v>26</v>
      </c>
      <c r="E985" t="s">
        <v>30</v>
      </c>
      <c r="F985" t="s">
        <v>19</v>
      </c>
      <c r="G985">
        <v>7</v>
      </c>
      <c r="H985">
        <v>7</v>
      </c>
      <c r="I985">
        <v>0</v>
      </c>
      <c r="J985">
        <v>3.8</v>
      </c>
      <c r="K985" t="str" cm="1">
        <f t="array" ref="K98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86" spans="1:11" x14ac:dyDescent="0.35">
      <c r="A986" s="16" t="s">
        <v>33</v>
      </c>
      <c r="B986" t="s">
        <v>24</v>
      </c>
      <c r="C986" t="s">
        <v>25</v>
      </c>
      <c r="D986" t="s">
        <v>26</v>
      </c>
      <c r="E986" t="s">
        <v>18</v>
      </c>
      <c r="F986" t="s">
        <v>15</v>
      </c>
      <c r="G986">
        <v>5</v>
      </c>
      <c r="H986">
        <v>4</v>
      </c>
      <c r="I986">
        <v>0</v>
      </c>
      <c r="J986">
        <v>2.9</v>
      </c>
      <c r="K986" t="str" cm="1">
        <f t="array" ref="K98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987" spans="1:11" x14ac:dyDescent="0.35">
      <c r="A987" s="16" t="s">
        <v>61</v>
      </c>
      <c r="B987" t="s">
        <v>34</v>
      </c>
      <c r="C987" t="s">
        <v>51</v>
      </c>
      <c r="D987" t="s">
        <v>26</v>
      </c>
      <c r="E987" t="s">
        <v>22</v>
      </c>
      <c r="F987" t="s">
        <v>15</v>
      </c>
      <c r="G987">
        <v>8</v>
      </c>
      <c r="H987">
        <v>8</v>
      </c>
      <c r="I987">
        <v>1</v>
      </c>
      <c r="J987">
        <v>2.2000000000000002</v>
      </c>
      <c r="K987" t="str" cm="1">
        <f t="array" ref="K98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988" spans="1:11" x14ac:dyDescent="0.35">
      <c r="A988" s="16" t="s">
        <v>33</v>
      </c>
      <c r="B988" t="s">
        <v>46</v>
      </c>
      <c r="C988" t="s">
        <v>54</v>
      </c>
      <c r="D988" t="s">
        <v>26</v>
      </c>
      <c r="E988" t="s">
        <v>18</v>
      </c>
      <c r="F988" t="s">
        <v>15</v>
      </c>
      <c r="G988">
        <v>6</v>
      </c>
      <c r="H988">
        <v>6</v>
      </c>
      <c r="I988">
        <v>0</v>
      </c>
      <c r="J988">
        <v>1.7</v>
      </c>
      <c r="K988" t="str" cm="1">
        <f t="array" ref="K98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January</v>
      </c>
    </row>
    <row r="989" spans="1:11" x14ac:dyDescent="0.35">
      <c r="A989" s="16" t="s">
        <v>20</v>
      </c>
      <c r="B989" t="s">
        <v>28</v>
      </c>
      <c r="C989" t="s">
        <v>29</v>
      </c>
      <c r="D989" t="s">
        <v>13</v>
      </c>
      <c r="E989" t="s">
        <v>14</v>
      </c>
      <c r="F989" t="s">
        <v>15</v>
      </c>
      <c r="G989">
        <v>8</v>
      </c>
      <c r="H989">
        <v>8</v>
      </c>
      <c r="I989">
        <v>0</v>
      </c>
      <c r="J989">
        <v>3.1</v>
      </c>
      <c r="K989" t="str" cm="1">
        <f t="array" ref="K98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990" spans="1:11" x14ac:dyDescent="0.35">
      <c r="A990" s="16" t="s">
        <v>23</v>
      </c>
      <c r="B990" t="s">
        <v>34</v>
      </c>
      <c r="C990" t="s">
        <v>35</v>
      </c>
      <c r="D990" t="s">
        <v>32</v>
      </c>
      <c r="E990" t="s">
        <v>22</v>
      </c>
      <c r="F990" t="s">
        <v>15</v>
      </c>
      <c r="G990">
        <v>4</v>
      </c>
      <c r="H990">
        <v>4</v>
      </c>
      <c r="I990">
        <v>0</v>
      </c>
      <c r="J990">
        <v>1.7</v>
      </c>
      <c r="K990" t="str" cm="1">
        <f t="array" ref="K99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91" spans="1:11" x14ac:dyDescent="0.35">
      <c r="A991" s="16" t="s">
        <v>23</v>
      </c>
      <c r="B991" t="s">
        <v>48</v>
      </c>
      <c r="C991" t="s">
        <v>63</v>
      </c>
      <c r="D991" t="s">
        <v>13</v>
      </c>
      <c r="E991" t="s">
        <v>14</v>
      </c>
      <c r="F991" t="s">
        <v>19</v>
      </c>
      <c r="G991">
        <v>6</v>
      </c>
      <c r="H991">
        <v>3</v>
      </c>
      <c r="I991">
        <v>0</v>
      </c>
      <c r="J991">
        <v>3.9</v>
      </c>
      <c r="K991" t="str" cm="1">
        <f t="array" ref="K99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92" spans="1:11" x14ac:dyDescent="0.35">
      <c r="A992" s="16" t="s">
        <v>20</v>
      </c>
      <c r="B992" t="s">
        <v>11</v>
      </c>
      <c r="C992" t="s">
        <v>12</v>
      </c>
      <c r="D992" t="s">
        <v>21</v>
      </c>
      <c r="E992" t="s">
        <v>30</v>
      </c>
      <c r="F992" t="s">
        <v>15</v>
      </c>
      <c r="G992">
        <v>6</v>
      </c>
      <c r="H992">
        <v>5</v>
      </c>
      <c r="I992">
        <v>1</v>
      </c>
      <c r="J992">
        <v>2.5</v>
      </c>
      <c r="K992" t="str" cm="1">
        <f t="array" ref="K992">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993" spans="1:11" x14ac:dyDescent="0.35">
      <c r="A993" s="16" t="s">
        <v>55</v>
      </c>
      <c r="B993" t="s">
        <v>16</v>
      </c>
      <c r="C993" t="s">
        <v>17</v>
      </c>
      <c r="D993" t="s">
        <v>22</v>
      </c>
      <c r="E993" t="s">
        <v>53</v>
      </c>
      <c r="F993" t="s">
        <v>15</v>
      </c>
      <c r="G993">
        <v>4</v>
      </c>
      <c r="H993">
        <v>4</v>
      </c>
      <c r="I993">
        <v>0</v>
      </c>
      <c r="J993">
        <v>2.6</v>
      </c>
      <c r="K993" t="str" cm="1">
        <f t="array" ref="K993">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994" spans="1:11" x14ac:dyDescent="0.35">
      <c r="A994" s="16" t="s">
        <v>59</v>
      </c>
      <c r="B994" t="s">
        <v>56</v>
      </c>
      <c r="C994" t="s">
        <v>62</v>
      </c>
      <c r="D994" t="s">
        <v>40</v>
      </c>
      <c r="E994" t="s">
        <v>14</v>
      </c>
      <c r="F994" t="s">
        <v>15</v>
      </c>
      <c r="G994">
        <v>5</v>
      </c>
      <c r="H994">
        <v>5</v>
      </c>
      <c r="I994">
        <v>1</v>
      </c>
      <c r="J994">
        <v>2.6</v>
      </c>
      <c r="K994" t="str" cm="1">
        <f t="array" ref="K994">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September</v>
      </c>
    </row>
    <row r="995" spans="1:11" x14ac:dyDescent="0.35">
      <c r="A995" s="16" t="s">
        <v>61</v>
      </c>
      <c r="B995" t="s">
        <v>34</v>
      </c>
      <c r="C995" t="s">
        <v>35</v>
      </c>
      <c r="D995" t="s">
        <v>32</v>
      </c>
      <c r="E995" t="s">
        <v>27</v>
      </c>
      <c r="F995" t="s">
        <v>15</v>
      </c>
      <c r="G995">
        <v>6</v>
      </c>
      <c r="H995">
        <v>6</v>
      </c>
      <c r="I995">
        <v>0</v>
      </c>
      <c r="J995">
        <v>3.5</v>
      </c>
      <c r="K995" t="str" cm="1">
        <f t="array" ref="K995">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November</v>
      </c>
    </row>
    <row r="996" spans="1:11" x14ac:dyDescent="0.35">
      <c r="A996" s="16" t="s">
        <v>23</v>
      </c>
      <c r="B996" t="s">
        <v>41</v>
      </c>
      <c r="C996" t="s">
        <v>42</v>
      </c>
      <c r="D996" t="s">
        <v>13</v>
      </c>
      <c r="E996" t="s">
        <v>22</v>
      </c>
      <c r="F996" t="s">
        <v>15</v>
      </c>
      <c r="G996">
        <v>2</v>
      </c>
      <c r="H996">
        <v>1</v>
      </c>
      <c r="I996">
        <v>0</v>
      </c>
      <c r="J996">
        <v>3.6</v>
      </c>
      <c r="K996" t="str" cm="1">
        <f t="array" ref="K996">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October</v>
      </c>
    </row>
    <row r="997" spans="1:11" x14ac:dyDescent="0.35">
      <c r="A997" s="16" t="s">
        <v>45</v>
      </c>
      <c r="B997" t="s">
        <v>46</v>
      </c>
      <c r="C997" t="s">
        <v>54</v>
      </c>
      <c r="D997" t="s">
        <v>32</v>
      </c>
      <c r="E997" t="s">
        <v>18</v>
      </c>
      <c r="F997" t="s">
        <v>15</v>
      </c>
      <c r="G997">
        <v>7</v>
      </c>
      <c r="H997">
        <v>7</v>
      </c>
      <c r="I997">
        <v>1</v>
      </c>
      <c r="J997">
        <v>0.3</v>
      </c>
      <c r="K997" t="str" cm="1">
        <f t="array" ref="K997">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May</v>
      </c>
    </row>
    <row r="998" spans="1:11" x14ac:dyDescent="0.35">
      <c r="A998" s="16" t="s">
        <v>20</v>
      </c>
      <c r="B998" t="s">
        <v>34</v>
      </c>
      <c r="C998" t="s">
        <v>35</v>
      </c>
      <c r="D998" t="s">
        <v>40</v>
      </c>
      <c r="E998" t="s">
        <v>27</v>
      </c>
      <c r="F998" t="s">
        <v>19</v>
      </c>
      <c r="G998">
        <v>4</v>
      </c>
      <c r="H998">
        <v>4</v>
      </c>
      <c r="I998">
        <v>0</v>
      </c>
      <c r="J998">
        <v>3</v>
      </c>
      <c r="K998" t="str" cm="1">
        <f t="array" ref="K998">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June</v>
      </c>
    </row>
    <row r="999" spans="1:11" x14ac:dyDescent="0.35">
      <c r="A999" s="16" t="s">
        <v>10</v>
      </c>
      <c r="B999" t="s">
        <v>41</v>
      </c>
      <c r="C999" t="s">
        <v>42</v>
      </c>
      <c r="D999" t="s">
        <v>32</v>
      </c>
      <c r="E999" t="s">
        <v>18</v>
      </c>
      <c r="F999" t="s">
        <v>15</v>
      </c>
      <c r="G999">
        <v>6</v>
      </c>
      <c r="H999">
        <v>5</v>
      </c>
      <c r="I999">
        <v>1</v>
      </c>
      <c r="J999">
        <v>2.2000000000000002</v>
      </c>
      <c r="K999" t="str" cm="1">
        <f t="array" ref="K999">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April</v>
      </c>
    </row>
    <row r="1000" spans="1:11" x14ac:dyDescent="0.35">
      <c r="A1000" s="16" t="s">
        <v>55</v>
      </c>
      <c r="B1000" t="s">
        <v>16</v>
      </c>
      <c r="C1000" t="s">
        <v>60</v>
      </c>
      <c r="D1000" t="s">
        <v>26</v>
      </c>
      <c r="E1000" t="s">
        <v>18</v>
      </c>
      <c r="F1000" t="s">
        <v>15</v>
      </c>
      <c r="G1000">
        <v>4</v>
      </c>
      <c r="H1000">
        <v>3</v>
      </c>
      <c r="I1000">
        <v>0</v>
      </c>
      <c r="J1000">
        <v>3.2</v>
      </c>
      <c r="K1000" t="str" cm="1">
        <f t="array" ref="K1000">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row r="1001" spans="1:11" x14ac:dyDescent="0.35">
      <c r="A1001" s="16" t="s">
        <v>55</v>
      </c>
      <c r="B1001" t="s">
        <v>37</v>
      </c>
      <c r="C1001" t="s">
        <v>39</v>
      </c>
      <c r="D1001" t="s">
        <v>26</v>
      </c>
      <c r="E1001" t="s">
        <v>22</v>
      </c>
      <c r="F1001" t="s">
        <v>15</v>
      </c>
      <c r="G1001">
        <v>10</v>
      </c>
      <c r="H1001">
        <v>9</v>
      </c>
      <c r="I1001">
        <v>1</v>
      </c>
      <c r="J1001">
        <v>3.1</v>
      </c>
      <c r="K1001" t="str" cm="1">
        <f t="array" ref="K1001">_xlfn.IFS(Table1[[#This Row],[Month]]="2023-01","January",Table1[[#This Row],[Month]]="2023-02","February",Table1[[#This Row],[Month]]="2023-03","March",Table1[[#This Row],[Month]]="2023-04","April",Table1[[#This Row],[Month]]="2023-05","May",Table1[[#This Row],[Month]]="2023-06","June",Table1[[#This Row],[Month]]="2023-07","July",Table1[[#This Row],[Month]]="2023-08","August",Table1[[#This Row],[Month]]="2023-09","September",Table1[[#This Row],[Month]]="2023-10","October",Table1[[#This Row],[Month]]="2023-11","November",Table1[[#This Row],[Month]]="2023-12","December")</f>
        <v>December</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1551C-A2EF-4A1E-89BB-23C7C8D6FE61}">
  <dimension ref="B2:F15"/>
  <sheetViews>
    <sheetView workbookViewId="0">
      <selection activeCell="C5" sqref="C5"/>
    </sheetView>
  </sheetViews>
  <sheetFormatPr defaultRowHeight="14.5" x14ac:dyDescent="0.35"/>
  <cols>
    <col min="2" max="2" width="12.453125" bestFit="1" customWidth="1"/>
    <col min="3" max="3" width="22.26953125" bestFit="1" customWidth="1"/>
    <col min="5" max="5" width="9.81640625" bestFit="1" customWidth="1"/>
    <col min="6" max="6" width="21.36328125" bestFit="1" customWidth="1"/>
  </cols>
  <sheetData>
    <row r="2" spans="2:6" x14ac:dyDescent="0.35">
      <c r="B2" s="1" t="s">
        <v>65</v>
      </c>
      <c r="C2" t="s">
        <v>67</v>
      </c>
      <c r="E2" t="str">
        <f>B2</f>
        <v>Row Labels</v>
      </c>
      <c r="F2" t="str">
        <f>C2</f>
        <v>Sum of Patients Admitted</v>
      </c>
    </row>
    <row r="3" spans="2:6" x14ac:dyDescent="0.35">
      <c r="B3" s="2" t="s">
        <v>72</v>
      </c>
      <c r="C3" s="18">
        <v>399</v>
      </c>
      <c r="E3" t="str">
        <f t="shared" ref="E3:F7" si="0">B3</f>
        <v>January</v>
      </c>
      <c r="F3">
        <f t="shared" si="0"/>
        <v>399</v>
      </c>
    </row>
    <row r="4" spans="2:6" x14ac:dyDescent="0.35">
      <c r="B4" s="2" t="s">
        <v>73</v>
      </c>
      <c r="C4" s="18">
        <v>349</v>
      </c>
      <c r="E4" t="str">
        <f t="shared" si="0"/>
        <v>February</v>
      </c>
      <c r="F4">
        <f t="shared" si="0"/>
        <v>349</v>
      </c>
    </row>
    <row r="5" spans="2:6" x14ac:dyDescent="0.35">
      <c r="B5" s="2" t="s">
        <v>74</v>
      </c>
      <c r="C5" s="18">
        <v>459</v>
      </c>
      <c r="E5" t="str">
        <f t="shared" si="0"/>
        <v>March</v>
      </c>
      <c r="F5">
        <f t="shared" si="0"/>
        <v>459</v>
      </c>
    </row>
    <row r="6" spans="2:6" x14ac:dyDescent="0.35">
      <c r="B6" s="2" t="s">
        <v>75</v>
      </c>
      <c r="C6" s="18">
        <v>425</v>
      </c>
      <c r="E6" t="str">
        <f t="shared" si="0"/>
        <v>April</v>
      </c>
      <c r="F6">
        <f t="shared" si="0"/>
        <v>425</v>
      </c>
    </row>
    <row r="7" spans="2:6" x14ac:dyDescent="0.35">
      <c r="B7" s="2" t="s">
        <v>76</v>
      </c>
      <c r="C7" s="18">
        <v>410</v>
      </c>
      <c r="E7" t="str">
        <f t="shared" si="0"/>
        <v>May</v>
      </c>
      <c r="F7">
        <f t="shared" si="0"/>
        <v>410</v>
      </c>
    </row>
    <row r="8" spans="2:6" x14ac:dyDescent="0.35">
      <c r="B8" s="2" t="s">
        <v>77</v>
      </c>
      <c r="C8" s="18">
        <v>396</v>
      </c>
    </row>
    <row r="9" spans="2:6" x14ac:dyDescent="0.35">
      <c r="B9" s="2" t="s">
        <v>78</v>
      </c>
      <c r="C9" s="18">
        <v>419</v>
      </c>
    </row>
    <row r="10" spans="2:6" x14ac:dyDescent="0.35">
      <c r="B10" s="2" t="s">
        <v>79</v>
      </c>
      <c r="C10" s="18">
        <v>311</v>
      </c>
    </row>
    <row r="11" spans="2:6" x14ac:dyDescent="0.35">
      <c r="B11" s="2" t="s">
        <v>80</v>
      </c>
      <c r="C11" s="18">
        <v>424</v>
      </c>
    </row>
    <row r="12" spans="2:6" x14ac:dyDescent="0.35">
      <c r="B12" s="2" t="s">
        <v>81</v>
      </c>
      <c r="C12" s="18">
        <v>481</v>
      </c>
    </row>
    <row r="13" spans="2:6" x14ac:dyDescent="0.35">
      <c r="B13" s="2" t="s">
        <v>82</v>
      </c>
      <c r="C13" s="18">
        <v>371</v>
      </c>
    </row>
    <row r="14" spans="2:6" x14ac:dyDescent="0.35">
      <c r="B14" s="2" t="s">
        <v>83</v>
      </c>
      <c r="C14" s="18">
        <v>408</v>
      </c>
    </row>
    <row r="15" spans="2:6" x14ac:dyDescent="0.35">
      <c r="B15" s="2" t="s">
        <v>66</v>
      </c>
      <c r="C15" s="18">
        <v>4852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D11D-8A29-47A2-8C80-A622A7C5B194}">
  <dimension ref="B2:F9"/>
  <sheetViews>
    <sheetView workbookViewId="0">
      <selection activeCell="J12" sqref="J12"/>
    </sheetView>
  </sheetViews>
  <sheetFormatPr defaultRowHeight="14.5" x14ac:dyDescent="0.35"/>
  <cols>
    <col min="2" max="2" width="12.453125" bestFit="1" customWidth="1"/>
    <col min="3" max="3" width="22.26953125" bestFit="1" customWidth="1"/>
    <col min="5" max="5" width="9.81640625" bestFit="1" customWidth="1"/>
    <col min="6" max="6" width="21.36328125" bestFit="1" customWidth="1"/>
  </cols>
  <sheetData>
    <row r="2" spans="2:6" x14ac:dyDescent="0.35">
      <c r="B2" s="1" t="s">
        <v>65</v>
      </c>
      <c r="C2" t="s">
        <v>67</v>
      </c>
      <c r="E2" t="str">
        <f>B2</f>
        <v>Row Labels</v>
      </c>
      <c r="F2" t="str">
        <f>C2</f>
        <v>Sum of Patients Admitted</v>
      </c>
    </row>
    <row r="3" spans="2:6" x14ac:dyDescent="0.35">
      <c r="B3" s="2" t="s">
        <v>46</v>
      </c>
      <c r="C3" s="18">
        <v>486</v>
      </c>
      <c r="E3" t="str">
        <f t="shared" ref="E3:F8" si="0">B3</f>
        <v>Borno</v>
      </c>
      <c r="F3">
        <f t="shared" si="0"/>
        <v>486</v>
      </c>
    </row>
    <row r="4" spans="2:6" x14ac:dyDescent="0.35">
      <c r="B4" s="2" t="s">
        <v>34</v>
      </c>
      <c r="C4" s="18">
        <v>572</v>
      </c>
      <c r="E4" t="str">
        <f t="shared" si="0"/>
        <v>Edo</v>
      </c>
      <c r="F4">
        <f t="shared" si="0"/>
        <v>572</v>
      </c>
    </row>
    <row r="5" spans="2:6" x14ac:dyDescent="0.35">
      <c r="B5" s="2" t="s">
        <v>37</v>
      </c>
      <c r="C5" s="18">
        <v>629</v>
      </c>
      <c r="E5" t="str">
        <f t="shared" si="0"/>
        <v>Kaduna</v>
      </c>
      <c r="F5">
        <f t="shared" si="0"/>
        <v>629</v>
      </c>
    </row>
    <row r="6" spans="2:6" x14ac:dyDescent="0.35">
      <c r="B6" s="2" t="s">
        <v>28</v>
      </c>
      <c r="C6" s="18">
        <v>469</v>
      </c>
      <c r="E6" t="str">
        <f t="shared" si="0"/>
        <v>Lagos</v>
      </c>
      <c r="F6">
        <f t="shared" si="0"/>
        <v>469</v>
      </c>
    </row>
    <row r="7" spans="2:6" x14ac:dyDescent="0.35">
      <c r="B7" s="2" t="s">
        <v>56</v>
      </c>
      <c r="C7" s="18">
        <v>469</v>
      </c>
      <c r="E7" t="str">
        <f t="shared" si="0"/>
        <v>Oyo</v>
      </c>
      <c r="F7">
        <f t="shared" si="0"/>
        <v>469</v>
      </c>
    </row>
    <row r="8" spans="2:6" x14ac:dyDescent="0.35">
      <c r="B8" s="2" t="s">
        <v>48</v>
      </c>
      <c r="C8" s="18">
        <v>549</v>
      </c>
      <c r="E8" t="str">
        <f t="shared" si="0"/>
        <v>Rivers</v>
      </c>
      <c r="F8">
        <f t="shared" si="0"/>
        <v>549</v>
      </c>
    </row>
    <row r="9" spans="2:6" x14ac:dyDescent="0.35">
      <c r="B9" s="2" t="s">
        <v>66</v>
      </c>
      <c r="C9" s="18">
        <v>3174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0E1C2-EEA2-4662-BC04-A18482C810A6}">
  <dimension ref="B2:F23"/>
  <sheetViews>
    <sheetView workbookViewId="0">
      <selection activeCell="B11" sqref="B11"/>
    </sheetView>
  </sheetViews>
  <sheetFormatPr defaultRowHeight="14.5" x14ac:dyDescent="0.35"/>
  <cols>
    <col min="2" max="2" width="25.36328125" bestFit="1" customWidth="1"/>
    <col min="3" max="3" width="22.26953125" bestFit="1" customWidth="1"/>
    <col min="5" max="5" width="25.36328125" bestFit="1" customWidth="1"/>
    <col min="6" max="6" width="21.36328125" bestFit="1" customWidth="1"/>
  </cols>
  <sheetData>
    <row r="2" spans="2:6" x14ac:dyDescent="0.35">
      <c r="B2" s="1" t="s">
        <v>65</v>
      </c>
      <c r="C2" t="s">
        <v>67</v>
      </c>
      <c r="E2" t="str">
        <f>B2</f>
        <v>Row Labels</v>
      </c>
      <c r="F2" t="str">
        <f>C2</f>
        <v>Sum of Patients Admitted</v>
      </c>
    </row>
    <row r="3" spans="2:6" x14ac:dyDescent="0.35">
      <c r="B3" s="2" t="s">
        <v>60</v>
      </c>
      <c r="C3" s="18">
        <v>169</v>
      </c>
      <c r="E3" t="str">
        <f t="shared" ref="E3:F9" si="0">B3</f>
        <v>Wuse District Hospital</v>
      </c>
      <c r="F3">
        <f t="shared" si="0"/>
        <v>169</v>
      </c>
    </row>
    <row r="4" spans="2:6" x14ac:dyDescent="0.35">
      <c r="B4" s="2" t="s">
        <v>64</v>
      </c>
      <c r="C4" s="18">
        <v>180</v>
      </c>
      <c r="E4" t="str">
        <f t="shared" si="0"/>
        <v>NAUTH Nnewi</v>
      </c>
      <c r="F4">
        <f t="shared" si="0"/>
        <v>180</v>
      </c>
    </row>
    <row r="5" spans="2:6" x14ac:dyDescent="0.35">
      <c r="B5" s="2" t="s">
        <v>25</v>
      </c>
      <c r="C5" s="18">
        <v>192</v>
      </c>
      <c r="E5" t="str">
        <f t="shared" si="0"/>
        <v>Amaku General Hospital</v>
      </c>
      <c r="F5">
        <f t="shared" si="0"/>
        <v>192</v>
      </c>
    </row>
    <row r="6" spans="2:6" x14ac:dyDescent="0.35">
      <c r="B6" s="2" t="s">
        <v>12</v>
      </c>
      <c r="C6" s="18">
        <v>195</v>
      </c>
      <c r="E6" t="str">
        <f t="shared" si="0"/>
        <v>Asaba General Hospital</v>
      </c>
      <c r="F6">
        <f t="shared" si="0"/>
        <v>195</v>
      </c>
    </row>
    <row r="7" spans="2:6" x14ac:dyDescent="0.35">
      <c r="B7" s="2" t="s">
        <v>44</v>
      </c>
      <c r="C7" s="18">
        <v>212</v>
      </c>
      <c r="E7" t="str">
        <f t="shared" si="0"/>
        <v>Aminu Kano Teaching Hospital</v>
      </c>
      <c r="F7">
        <f t="shared" si="0"/>
        <v>212</v>
      </c>
    </row>
    <row r="8" spans="2:6" x14ac:dyDescent="0.35">
      <c r="B8" s="2" t="s">
        <v>29</v>
      </c>
      <c r="C8" s="18">
        <v>214</v>
      </c>
      <c r="E8" t="str">
        <f t="shared" si="0"/>
        <v>LASUTH</v>
      </c>
      <c r="F8">
        <f t="shared" si="0"/>
        <v>214</v>
      </c>
    </row>
    <row r="9" spans="2:6" x14ac:dyDescent="0.35">
      <c r="B9" s="2" t="s">
        <v>52</v>
      </c>
      <c r="C9" s="18">
        <v>218</v>
      </c>
      <c r="E9" t="str">
        <f t="shared" si="0"/>
        <v>Warri Central Hospital</v>
      </c>
      <c r="F9">
        <f t="shared" si="0"/>
        <v>218</v>
      </c>
    </row>
    <row r="10" spans="2:6" x14ac:dyDescent="0.35">
      <c r="B10" s="2" t="s">
        <v>54</v>
      </c>
      <c r="C10" s="18">
        <v>227</v>
      </c>
    </row>
    <row r="11" spans="2:6" x14ac:dyDescent="0.35">
      <c r="B11" s="2" t="s">
        <v>57</v>
      </c>
      <c r="C11" s="18">
        <v>232</v>
      </c>
    </row>
    <row r="12" spans="2:6" x14ac:dyDescent="0.35">
      <c r="B12" s="2" t="s">
        <v>42</v>
      </c>
      <c r="C12" s="18">
        <v>232</v>
      </c>
    </row>
    <row r="13" spans="2:6" x14ac:dyDescent="0.35">
      <c r="B13" s="2" t="s">
        <v>62</v>
      </c>
      <c r="C13" s="18">
        <v>237</v>
      </c>
    </row>
    <row r="14" spans="2:6" x14ac:dyDescent="0.35">
      <c r="B14" s="2" t="s">
        <v>63</v>
      </c>
      <c r="C14" s="18">
        <v>249</v>
      </c>
    </row>
    <row r="15" spans="2:6" x14ac:dyDescent="0.35">
      <c r="B15" s="2" t="s">
        <v>51</v>
      </c>
      <c r="C15" s="18">
        <v>254</v>
      </c>
    </row>
    <row r="16" spans="2:6" x14ac:dyDescent="0.35">
      <c r="B16" s="2" t="s">
        <v>58</v>
      </c>
      <c r="C16" s="18">
        <v>255</v>
      </c>
    </row>
    <row r="17" spans="2:3" x14ac:dyDescent="0.35">
      <c r="B17" s="2" t="s">
        <v>47</v>
      </c>
      <c r="C17" s="18">
        <v>259</v>
      </c>
    </row>
    <row r="18" spans="2:3" x14ac:dyDescent="0.35">
      <c r="B18" s="2" t="s">
        <v>17</v>
      </c>
      <c r="C18" s="18">
        <v>280</v>
      </c>
    </row>
    <row r="19" spans="2:3" x14ac:dyDescent="0.35">
      <c r="B19" s="2" t="s">
        <v>49</v>
      </c>
      <c r="C19" s="18">
        <v>300</v>
      </c>
    </row>
    <row r="20" spans="2:3" x14ac:dyDescent="0.35">
      <c r="B20" s="2" t="s">
        <v>38</v>
      </c>
      <c r="C20" s="18">
        <v>311</v>
      </c>
    </row>
    <row r="21" spans="2:3" x14ac:dyDescent="0.35">
      <c r="B21" s="2" t="s">
        <v>39</v>
      </c>
      <c r="C21" s="18">
        <v>318</v>
      </c>
    </row>
    <row r="22" spans="2:3" x14ac:dyDescent="0.35">
      <c r="B22" s="2" t="s">
        <v>35</v>
      </c>
      <c r="C22" s="18">
        <v>318</v>
      </c>
    </row>
    <row r="23" spans="2:3" x14ac:dyDescent="0.35">
      <c r="B23" s="2" t="s">
        <v>66</v>
      </c>
      <c r="C23" s="18">
        <v>4852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EAE4B-65BF-4F9D-BC4C-7A60FCAB16A4}">
  <dimension ref="B3:F10"/>
  <sheetViews>
    <sheetView workbookViewId="0">
      <selection activeCell="E3" sqref="E3:F9"/>
    </sheetView>
  </sheetViews>
  <sheetFormatPr defaultRowHeight="14.5" x14ac:dyDescent="0.35"/>
  <cols>
    <col min="2" max="2" width="14.81640625" bestFit="1" customWidth="1"/>
    <col min="3" max="3" width="22.26953125" bestFit="1" customWidth="1"/>
    <col min="5" max="5" width="14.81640625" bestFit="1" customWidth="1"/>
    <col min="6" max="6" width="21.36328125" bestFit="1" customWidth="1"/>
  </cols>
  <sheetData>
    <row r="3" spans="2:6" x14ac:dyDescent="0.35">
      <c r="B3" s="1" t="s">
        <v>65</v>
      </c>
      <c r="C3" t="s">
        <v>67</v>
      </c>
      <c r="E3" t="str">
        <f>B3</f>
        <v>Row Labels</v>
      </c>
      <c r="F3" t="str">
        <f>C3</f>
        <v>Sum of Patients Admitted</v>
      </c>
    </row>
    <row r="4" spans="2:6" x14ac:dyDescent="0.35">
      <c r="B4" s="2" t="s">
        <v>40</v>
      </c>
      <c r="C4" s="18">
        <v>820</v>
      </c>
      <c r="E4" t="str">
        <f t="shared" ref="E4:F9" si="0">B4</f>
        <v>Emergency</v>
      </c>
      <c r="F4">
        <f t="shared" si="0"/>
        <v>820</v>
      </c>
    </row>
    <row r="5" spans="2:6" x14ac:dyDescent="0.35">
      <c r="B5" s="2" t="s">
        <v>32</v>
      </c>
      <c r="C5" s="18">
        <v>772</v>
      </c>
      <c r="E5" t="str">
        <f t="shared" si="0"/>
        <v>Internal Medicine</v>
      </c>
      <c r="F5">
        <f t="shared" si="0"/>
        <v>772</v>
      </c>
    </row>
    <row r="6" spans="2:6" x14ac:dyDescent="0.35">
      <c r="B6" s="2" t="s">
        <v>26</v>
      </c>
      <c r="C6" s="18">
        <v>819</v>
      </c>
      <c r="E6" t="str">
        <f t="shared" si="0"/>
        <v>Maternity</v>
      </c>
      <c r="F6">
        <f t="shared" si="0"/>
        <v>819</v>
      </c>
    </row>
    <row r="7" spans="2:6" x14ac:dyDescent="0.35">
      <c r="B7" s="2" t="s">
        <v>21</v>
      </c>
      <c r="C7" s="18">
        <v>689</v>
      </c>
      <c r="E7" t="str">
        <f t="shared" si="0"/>
        <v>Outpatient</v>
      </c>
      <c r="F7">
        <f t="shared" si="0"/>
        <v>689</v>
      </c>
    </row>
    <row r="8" spans="2:6" x14ac:dyDescent="0.35">
      <c r="B8" s="2" t="s">
        <v>13</v>
      </c>
      <c r="C8" s="18">
        <v>900</v>
      </c>
      <c r="E8" t="str">
        <f t="shared" si="0"/>
        <v>Pediatrics</v>
      </c>
      <c r="F8">
        <f t="shared" si="0"/>
        <v>900</v>
      </c>
    </row>
    <row r="9" spans="2:6" x14ac:dyDescent="0.35">
      <c r="B9" s="2" t="s">
        <v>22</v>
      </c>
      <c r="C9" s="18">
        <v>852</v>
      </c>
      <c r="E9" t="str">
        <f t="shared" si="0"/>
        <v>Surgery</v>
      </c>
      <c r="F9">
        <f t="shared" si="0"/>
        <v>852</v>
      </c>
    </row>
    <row r="10" spans="2:6" x14ac:dyDescent="0.35">
      <c r="B10" s="2" t="s">
        <v>66</v>
      </c>
      <c r="C10" s="18">
        <v>4852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F2DBC-B478-47A0-82EF-53F479966464}">
  <dimension ref="B2:C143"/>
  <sheetViews>
    <sheetView workbookViewId="0">
      <selection activeCell="C143" sqref="C143"/>
    </sheetView>
  </sheetViews>
  <sheetFormatPr defaultRowHeight="14.5" x14ac:dyDescent="0.35"/>
  <cols>
    <col min="2" max="2" width="28.1796875" bestFit="1" customWidth="1"/>
    <col min="3" max="3" width="20" bestFit="1" customWidth="1"/>
    <col min="4" max="4" width="15.54296875" bestFit="1" customWidth="1"/>
    <col min="5" max="5" width="8.7265625" bestFit="1" customWidth="1"/>
    <col min="6" max="6" width="9.81640625" bestFit="1" customWidth="1"/>
    <col min="7" max="7" width="9.26953125" bestFit="1" customWidth="1"/>
    <col min="8" max="8" width="7.08984375" bestFit="1" customWidth="1"/>
    <col min="9" max="9" width="10.36328125" bestFit="1" customWidth="1"/>
    <col min="10" max="10" width="19.36328125" bestFit="1" customWidth="1"/>
    <col min="11" max="11" width="7.36328125" bestFit="1" customWidth="1"/>
    <col min="12" max="12" width="25.6328125" bestFit="1" customWidth="1"/>
    <col min="13" max="13" width="25.1796875" bestFit="1" customWidth="1"/>
    <col min="14" max="14" width="20.6328125" bestFit="1" customWidth="1"/>
    <col min="15" max="15" width="12.26953125" bestFit="1" customWidth="1"/>
    <col min="16" max="16" width="16" bestFit="1" customWidth="1"/>
    <col min="17" max="17" width="5.36328125" bestFit="1" customWidth="1"/>
    <col min="18" max="18" width="10.81640625" bestFit="1" customWidth="1"/>
    <col min="19" max="19" width="5.7265625" bestFit="1" customWidth="1"/>
    <col min="20" max="20" width="5.36328125" bestFit="1" customWidth="1"/>
    <col min="21" max="21" width="19.36328125" bestFit="1" customWidth="1"/>
    <col min="22" max="22" width="19.54296875" bestFit="1" customWidth="1"/>
    <col min="23" max="23" width="14.54296875" bestFit="1" customWidth="1"/>
    <col min="24" max="24" width="22.81640625" bestFit="1" customWidth="1"/>
    <col min="25" max="25" width="21.1796875" bestFit="1" customWidth="1"/>
    <col min="26" max="26" width="26.453125" bestFit="1" customWidth="1"/>
    <col min="27" max="27" width="20.36328125" bestFit="1" customWidth="1"/>
    <col min="28" max="28" width="18.36328125" bestFit="1" customWidth="1"/>
    <col min="29" max="29" width="26.26953125" bestFit="1" customWidth="1"/>
    <col min="30" max="30" width="19.7265625" bestFit="1" customWidth="1"/>
    <col min="31" max="31" width="19.36328125" bestFit="1" customWidth="1"/>
    <col min="32" max="32" width="7.36328125" bestFit="1" customWidth="1"/>
    <col min="33" max="33" width="25.6328125" bestFit="1" customWidth="1"/>
    <col min="34" max="34" width="25.1796875" bestFit="1" customWidth="1"/>
    <col min="35" max="35" width="20.6328125" bestFit="1" customWidth="1"/>
    <col min="36" max="36" width="12.26953125" bestFit="1" customWidth="1"/>
    <col min="37" max="37" width="16" bestFit="1" customWidth="1"/>
    <col min="38" max="38" width="5.36328125" bestFit="1" customWidth="1"/>
    <col min="39" max="39" width="10.81640625" bestFit="1" customWidth="1"/>
    <col min="40" max="40" width="5.7265625" bestFit="1" customWidth="1"/>
    <col min="41" max="41" width="5.36328125" bestFit="1" customWidth="1"/>
    <col min="42" max="42" width="19.36328125" bestFit="1" customWidth="1"/>
    <col min="43" max="43" width="19.54296875" bestFit="1" customWidth="1"/>
    <col min="44" max="44" width="20.08984375" bestFit="1" customWidth="1"/>
    <col min="45" max="45" width="22.81640625" bestFit="1" customWidth="1"/>
    <col min="46" max="46" width="21.1796875" bestFit="1" customWidth="1"/>
    <col min="47" max="47" width="26.453125" bestFit="1" customWidth="1"/>
    <col min="48" max="48" width="20.36328125" bestFit="1" customWidth="1"/>
    <col min="49" max="49" width="18.36328125" bestFit="1" customWidth="1"/>
    <col min="50" max="50" width="26.26953125" bestFit="1" customWidth="1"/>
    <col min="51" max="51" width="19.7265625" bestFit="1" customWidth="1"/>
    <col min="52" max="52" width="19.36328125" bestFit="1" customWidth="1"/>
    <col min="53" max="53" width="7.36328125" bestFit="1" customWidth="1"/>
    <col min="54" max="54" width="25.6328125" bestFit="1" customWidth="1"/>
    <col min="55" max="55" width="25.1796875" bestFit="1" customWidth="1"/>
    <col min="56" max="56" width="20.6328125" bestFit="1" customWidth="1"/>
    <col min="57" max="57" width="12.26953125" bestFit="1" customWidth="1"/>
    <col min="58" max="58" width="16" bestFit="1" customWidth="1"/>
    <col min="59" max="59" width="5.36328125" bestFit="1" customWidth="1"/>
    <col min="60" max="60" width="10.81640625" bestFit="1" customWidth="1"/>
    <col min="61" max="61" width="5.7265625" bestFit="1" customWidth="1"/>
    <col min="62" max="62" width="5.36328125" bestFit="1" customWidth="1"/>
    <col min="63" max="63" width="19.36328125" bestFit="1" customWidth="1"/>
    <col min="64" max="64" width="19.54296875" bestFit="1" customWidth="1"/>
    <col min="65" max="65" width="13.26953125" bestFit="1" customWidth="1"/>
    <col min="66" max="66" width="22.81640625" bestFit="1" customWidth="1"/>
    <col min="67" max="67" width="21.1796875" bestFit="1" customWidth="1"/>
    <col min="68" max="68" width="26.453125" bestFit="1" customWidth="1"/>
    <col min="69" max="69" width="20.36328125" bestFit="1" customWidth="1"/>
    <col min="70" max="70" width="18.36328125" bestFit="1" customWidth="1"/>
    <col min="71" max="71" width="26.26953125" bestFit="1" customWidth="1"/>
    <col min="72" max="72" width="19.7265625" bestFit="1" customWidth="1"/>
    <col min="73" max="73" width="19.36328125" bestFit="1" customWidth="1"/>
    <col min="74" max="74" width="7.36328125" bestFit="1" customWidth="1"/>
    <col min="75" max="75" width="25.6328125" bestFit="1" customWidth="1"/>
    <col min="76" max="76" width="25.1796875" bestFit="1" customWidth="1"/>
    <col min="77" max="77" width="20.6328125" bestFit="1" customWidth="1"/>
    <col min="78" max="78" width="12.26953125" bestFit="1" customWidth="1"/>
    <col min="79" max="79" width="16" bestFit="1" customWidth="1"/>
    <col min="80" max="80" width="5.36328125" bestFit="1" customWidth="1"/>
    <col min="81" max="81" width="10.81640625" bestFit="1" customWidth="1"/>
    <col min="82" max="82" width="5.7265625" bestFit="1" customWidth="1"/>
    <col min="83" max="83" width="5.36328125" bestFit="1" customWidth="1"/>
    <col min="84" max="84" width="19.36328125" bestFit="1" customWidth="1"/>
    <col min="85" max="85" width="19.54296875" bestFit="1" customWidth="1"/>
    <col min="86" max="86" width="14.36328125" bestFit="1" customWidth="1"/>
    <col min="87" max="87" width="22.81640625" bestFit="1" customWidth="1"/>
    <col min="88" max="88" width="21.1796875" bestFit="1" customWidth="1"/>
    <col min="89" max="89" width="26.453125" bestFit="1" customWidth="1"/>
    <col min="90" max="90" width="20.36328125" bestFit="1" customWidth="1"/>
    <col min="91" max="91" width="18.36328125" bestFit="1" customWidth="1"/>
    <col min="92" max="92" width="26.26953125" bestFit="1" customWidth="1"/>
    <col min="93" max="93" width="19.7265625" bestFit="1" customWidth="1"/>
    <col min="94" max="94" width="19.36328125" bestFit="1" customWidth="1"/>
    <col min="95" max="95" width="7.36328125" bestFit="1" customWidth="1"/>
    <col min="96" max="96" width="25.6328125" bestFit="1" customWidth="1"/>
    <col min="97" max="97" width="25.1796875" bestFit="1" customWidth="1"/>
    <col min="98" max="98" width="20.6328125" bestFit="1" customWidth="1"/>
    <col min="99" max="99" width="12.26953125" bestFit="1" customWidth="1"/>
    <col min="100" max="100" width="16" bestFit="1" customWidth="1"/>
    <col min="101" max="101" width="5.36328125" bestFit="1" customWidth="1"/>
    <col min="102" max="102" width="10.81640625" bestFit="1" customWidth="1"/>
    <col min="103" max="103" width="5.7265625" bestFit="1" customWidth="1"/>
    <col min="104" max="104" width="5.36328125" bestFit="1" customWidth="1"/>
    <col min="105" max="105" width="19.36328125" bestFit="1" customWidth="1"/>
    <col min="106" max="106" width="19.54296875" bestFit="1" customWidth="1"/>
    <col min="107" max="107" width="13.81640625" bestFit="1" customWidth="1"/>
    <col min="108" max="108" width="22.81640625" bestFit="1" customWidth="1"/>
    <col min="109" max="109" width="21.1796875" bestFit="1" customWidth="1"/>
    <col min="110" max="110" width="26.453125" bestFit="1" customWidth="1"/>
    <col min="111" max="111" width="20.36328125" bestFit="1" customWidth="1"/>
    <col min="112" max="112" width="18.36328125" bestFit="1" customWidth="1"/>
    <col min="113" max="113" width="26.26953125" bestFit="1" customWidth="1"/>
    <col min="114" max="114" width="19.7265625" bestFit="1" customWidth="1"/>
    <col min="115" max="115" width="19.36328125" bestFit="1" customWidth="1"/>
    <col min="116" max="116" width="7.36328125" bestFit="1" customWidth="1"/>
    <col min="117" max="117" width="25.6328125" bestFit="1" customWidth="1"/>
    <col min="118" max="118" width="25.1796875" bestFit="1" customWidth="1"/>
    <col min="119" max="119" width="20.6328125" bestFit="1" customWidth="1"/>
    <col min="120" max="120" width="12.26953125" bestFit="1" customWidth="1"/>
    <col min="121" max="121" width="16" bestFit="1" customWidth="1"/>
    <col min="122" max="122" width="5.36328125" bestFit="1" customWidth="1"/>
    <col min="123" max="123" width="10.81640625" bestFit="1" customWidth="1"/>
    <col min="124" max="124" width="5.7265625" bestFit="1" customWidth="1"/>
    <col min="125" max="125" width="5.36328125" bestFit="1" customWidth="1"/>
    <col min="126" max="126" width="19.36328125" bestFit="1" customWidth="1"/>
    <col min="127" max="127" width="19.54296875" bestFit="1" customWidth="1"/>
    <col min="128" max="128" width="11.54296875" bestFit="1" customWidth="1"/>
    <col min="129" max="129" width="10.36328125" bestFit="1" customWidth="1"/>
  </cols>
  <sheetData>
    <row r="2" spans="2:3" x14ac:dyDescent="0.35">
      <c r="B2" s="1" t="s">
        <v>65</v>
      </c>
      <c r="C2" t="s">
        <v>70</v>
      </c>
    </row>
    <row r="3" spans="2:3" x14ac:dyDescent="0.35">
      <c r="B3" s="2" t="s">
        <v>62</v>
      </c>
      <c r="C3" s="18">
        <v>15</v>
      </c>
    </row>
    <row r="4" spans="2:3" x14ac:dyDescent="0.35">
      <c r="B4" s="3" t="s">
        <v>40</v>
      </c>
      <c r="C4" s="18">
        <v>3</v>
      </c>
    </row>
    <row r="5" spans="2:3" x14ac:dyDescent="0.35">
      <c r="B5" s="3" t="s">
        <v>32</v>
      </c>
      <c r="C5" s="18">
        <v>3</v>
      </c>
    </row>
    <row r="6" spans="2:3" x14ac:dyDescent="0.35">
      <c r="B6" s="3" t="s">
        <v>26</v>
      </c>
      <c r="C6" s="18">
        <v>3</v>
      </c>
    </row>
    <row r="7" spans="2:3" x14ac:dyDescent="0.35">
      <c r="B7" s="3" t="s">
        <v>21</v>
      </c>
      <c r="C7" s="18">
        <v>4</v>
      </c>
    </row>
    <row r="8" spans="2:3" x14ac:dyDescent="0.35">
      <c r="B8" s="3" t="s">
        <v>13</v>
      </c>
      <c r="C8" s="18">
        <v>2</v>
      </c>
    </row>
    <row r="9" spans="2:3" x14ac:dyDescent="0.35">
      <c r="B9" s="3" t="s">
        <v>22</v>
      </c>
      <c r="C9" s="18">
        <v>0</v>
      </c>
    </row>
    <row r="10" spans="2:3" x14ac:dyDescent="0.35">
      <c r="B10" s="2" t="s">
        <v>25</v>
      </c>
      <c r="C10" s="18">
        <v>12</v>
      </c>
    </row>
    <row r="11" spans="2:3" x14ac:dyDescent="0.35">
      <c r="B11" s="3" t="s">
        <v>40</v>
      </c>
      <c r="C11" s="18">
        <v>0</v>
      </c>
    </row>
    <row r="12" spans="2:3" x14ac:dyDescent="0.35">
      <c r="B12" s="3" t="s">
        <v>32</v>
      </c>
      <c r="C12" s="18">
        <v>4</v>
      </c>
    </row>
    <row r="13" spans="2:3" x14ac:dyDescent="0.35">
      <c r="B13" s="3" t="s">
        <v>26</v>
      </c>
      <c r="C13" s="18">
        <v>0</v>
      </c>
    </row>
    <row r="14" spans="2:3" x14ac:dyDescent="0.35">
      <c r="B14" s="3" t="s">
        <v>21</v>
      </c>
      <c r="C14" s="18">
        <v>1</v>
      </c>
    </row>
    <row r="15" spans="2:3" x14ac:dyDescent="0.35">
      <c r="B15" s="3" t="s">
        <v>13</v>
      </c>
      <c r="C15" s="18">
        <v>2</v>
      </c>
    </row>
    <row r="16" spans="2:3" x14ac:dyDescent="0.35">
      <c r="B16" s="3" t="s">
        <v>22</v>
      </c>
      <c r="C16" s="18">
        <v>5</v>
      </c>
    </row>
    <row r="17" spans="2:3" x14ac:dyDescent="0.35">
      <c r="B17" s="2" t="s">
        <v>44</v>
      </c>
      <c r="C17" s="18">
        <v>7</v>
      </c>
    </row>
    <row r="18" spans="2:3" x14ac:dyDescent="0.35">
      <c r="B18" s="3" t="s">
        <v>40</v>
      </c>
      <c r="C18" s="18">
        <v>0</v>
      </c>
    </row>
    <row r="19" spans="2:3" x14ac:dyDescent="0.35">
      <c r="B19" s="3" t="s">
        <v>32</v>
      </c>
      <c r="C19" s="18">
        <v>1</v>
      </c>
    </row>
    <row r="20" spans="2:3" x14ac:dyDescent="0.35">
      <c r="B20" s="3" t="s">
        <v>26</v>
      </c>
      <c r="C20" s="18">
        <v>1</v>
      </c>
    </row>
    <row r="21" spans="2:3" x14ac:dyDescent="0.35">
      <c r="B21" s="3" t="s">
        <v>21</v>
      </c>
      <c r="C21" s="18">
        <v>4</v>
      </c>
    </row>
    <row r="22" spans="2:3" x14ac:dyDescent="0.35">
      <c r="B22" s="3" t="s">
        <v>13</v>
      </c>
      <c r="C22" s="18">
        <v>1</v>
      </c>
    </row>
    <row r="23" spans="2:3" x14ac:dyDescent="0.35">
      <c r="B23" s="3" t="s">
        <v>22</v>
      </c>
      <c r="C23" s="18">
        <v>0</v>
      </c>
    </row>
    <row r="24" spans="2:3" x14ac:dyDescent="0.35">
      <c r="B24" s="2" t="s">
        <v>12</v>
      </c>
      <c r="C24" s="18">
        <v>9</v>
      </c>
    </row>
    <row r="25" spans="2:3" x14ac:dyDescent="0.35">
      <c r="B25" s="3" t="s">
        <v>40</v>
      </c>
      <c r="C25" s="18">
        <v>2</v>
      </c>
    </row>
    <row r="26" spans="2:3" x14ac:dyDescent="0.35">
      <c r="B26" s="3" t="s">
        <v>32</v>
      </c>
      <c r="C26" s="18">
        <v>1</v>
      </c>
    </row>
    <row r="27" spans="2:3" x14ac:dyDescent="0.35">
      <c r="B27" s="3" t="s">
        <v>26</v>
      </c>
      <c r="C27" s="18">
        <v>1</v>
      </c>
    </row>
    <row r="28" spans="2:3" x14ac:dyDescent="0.35">
      <c r="B28" s="3" t="s">
        <v>21</v>
      </c>
      <c r="C28" s="18">
        <v>3</v>
      </c>
    </row>
    <row r="29" spans="2:3" x14ac:dyDescent="0.35">
      <c r="B29" s="3" t="s">
        <v>13</v>
      </c>
      <c r="C29" s="18">
        <v>1</v>
      </c>
    </row>
    <row r="30" spans="2:3" x14ac:dyDescent="0.35">
      <c r="B30" s="3" t="s">
        <v>22</v>
      </c>
      <c r="C30" s="18">
        <v>1</v>
      </c>
    </row>
    <row r="31" spans="2:3" x14ac:dyDescent="0.35">
      <c r="B31" s="2" t="s">
        <v>38</v>
      </c>
      <c r="C31" s="18">
        <v>17</v>
      </c>
    </row>
    <row r="32" spans="2:3" x14ac:dyDescent="0.35">
      <c r="B32" s="3" t="s">
        <v>40</v>
      </c>
      <c r="C32" s="18">
        <v>5</v>
      </c>
    </row>
    <row r="33" spans="2:3" x14ac:dyDescent="0.35">
      <c r="B33" s="3" t="s">
        <v>32</v>
      </c>
      <c r="C33" s="18">
        <v>1</v>
      </c>
    </row>
    <row r="34" spans="2:3" x14ac:dyDescent="0.35">
      <c r="B34" s="3" t="s">
        <v>26</v>
      </c>
      <c r="C34" s="18">
        <v>2</v>
      </c>
    </row>
    <row r="35" spans="2:3" x14ac:dyDescent="0.35">
      <c r="B35" s="3" t="s">
        <v>21</v>
      </c>
      <c r="C35" s="18">
        <v>4</v>
      </c>
    </row>
    <row r="36" spans="2:3" x14ac:dyDescent="0.35">
      <c r="B36" s="3" t="s">
        <v>13</v>
      </c>
      <c r="C36" s="18">
        <v>2</v>
      </c>
    </row>
    <row r="37" spans="2:3" x14ac:dyDescent="0.35">
      <c r="B37" s="3" t="s">
        <v>22</v>
      </c>
      <c r="C37" s="18">
        <v>3</v>
      </c>
    </row>
    <row r="38" spans="2:3" x14ac:dyDescent="0.35">
      <c r="B38" s="2" t="s">
        <v>49</v>
      </c>
      <c r="C38" s="18">
        <v>14</v>
      </c>
    </row>
    <row r="39" spans="2:3" x14ac:dyDescent="0.35">
      <c r="B39" s="3" t="s">
        <v>40</v>
      </c>
      <c r="C39" s="18">
        <v>3</v>
      </c>
    </row>
    <row r="40" spans="2:3" x14ac:dyDescent="0.35">
      <c r="B40" s="3" t="s">
        <v>32</v>
      </c>
      <c r="C40" s="18">
        <v>3</v>
      </c>
    </row>
    <row r="41" spans="2:3" x14ac:dyDescent="0.35">
      <c r="B41" s="3" t="s">
        <v>26</v>
      </c>
      <c r="C41" s="18">
        <v>4</v>
      </c>
    </row>
    <row r="42" spans="2:3" x14ac:dyDescent="0.35">
      <c r="B42" s="3" t="s">
        <v>21</v>
      </c>
      <c r="C42" s="18">
        <v>2</v>
      </c>
    </row>
    <row r="43" spans="2:3" x14ac:dyDescent="0.35">
      <c r="B43" s="3" t="s">
        <v>13</v>
      </c>
      <c r="C43" s="18">
        <v>0</v>
      </c>
    </row>
    <row r="44" spans="2:3" x14ac:dyDescent="0.35">
      <c r="B44" s="3" t="s">
        <v>22</v>
      </c>
      <c r="C44" s="18">
        <v>2</v>
      </c>
    </row>
    <row r="45" spans="2:3" x14ac:dyDescent="0.35">
      <c r="B45" s="2" t="s">
        <v>35</v>
      </c>
      <c r="C45" s="18">
        <v>14</v>
      </c>
    </row>
    <row r="46" spans="2:3" x14ac:dyDescent="0.35">
      <c r="B46" s="3" t="s">
        <v>40</v>
      </c>
      <c r="C46" s="18">
        <v>0</v>
      </c>
    </row>
    <row r="47" spans="2:3" x14ac:dyDescent="0.35">
      <c r="B47" s="3" t="s">
        <v>32</v>
      </c>
      <c r="C47" s="18">
        <v>5</v>
      </c>
    </row>
    <row r="48" spans="2:3" x14ac:dyDescent="0.35">
      <c r="B48" s="3" t="s">
        <v>26</v>
      </c>
      <c r="C48" s="18">
        <v>5</v>
      </c>
    </row>
    <row r="49" spans="2:3" x14ac:dyDescent="0.35">
      <c r="B49" s="3" t="s">
        <v>21</v>
      </c>
      <c r="C49" s="18">
        <v>1</v>
      </c>
    </row>
    <row r="50" spans="2:3" x14ac:dyDescent="0.35">
      <c r="B50" s="3" t="s">
        <v>13</v>
      </c>
      <c r="C50" s="18">
        <v>3</v>
      </c>
    </row>
    <row r="51" spans="2:3" x14ac:dyDescent="0.35">
      <c r="B51" s="3" t="s">
        <v>22</v>
      </c>
      <c r="C51" s="18">
        <v>0</v>
      </c>
    </row>
    <row r="52" spans="2:3" x14ac:dyDescent="0.35">
      <c r="B52" s="2" t="s">
        <v>58</v>
      </c>
      <c r="C52" s="18">
        <v>10</v>
      </c>
    </row>
    <row r="53" spans="2:3" x14ac:dyDescent="0.35">
      <c r="B53" s="3" t="s">
        <v>40</v>
      </c>
      <c r="C53" s="18">
        <v>0</v>
      </c>
    </row>
    <row r="54" spans="2:3" x14ac:dyDescent="0.35">
      <c r="B54" s="3" t="s">
        <v>32</v>
      </c>
      <c r="C54" s="18">
        <v>3</v>
      </c>
    </row>
    <row r="55" spans="2:3" x14ac:dyDescent="0.35">
      <c r="B55" s="3" t="s">
        <v>26</v>
      </c>
      <c r="C55" s="18">
        <v>1</v>
      </c>
    </row>
    <row r="56" spans="2:3" x14ac:dyDescent="0.35">
      <c r="B56" s="3" t="s">
        <v>21</v>
      </c>
      <c r="C56" s="18">
        <v>2</v>
      </c>
    </row>
    <row r="57" spans="2:3" x14ac:dyDescent="0.35">
      <c r="B57" s="3" t="s">
        <v>13</v>
      </c>
      <c r="C57" s="18">
        <v>4</v>
      </c>
    </row>
    <row r="58" spans="2:3" x14ac:dyDescent="0.35">
      <c r="B58" s="3" t="s">
        <v>22</v>
      </c>
      <c r="C58" s="18">
        <v>0</v>
      </c>
    </row>
    <row r="59" spans="2:3" x14ac:dyDescent="0.35">
      <c r="B59" s="2" t="s">
        <v>29</v>
      </c>
      <c r="C59" s="18">
        <v>9</v>
      </c>
    </row>
    <row r="60" spans="2:3" x14ac:dyDescent="0.35">
      <c r="B60" s="3" t="s">
        <v>40</v>
      </c>
      <c r="C60" s="18">
        <v>2</v>
      </c>
    </row>
    <row r="61" spans="2:3" x14ac:dyDescent="0.35">
      <c r="B61" s="3" t="s">
        <v>32</v>
      </c>
      <c r="C61" s="18">
        <v>0</v>
      </c>
    </row>
    <row r="62" spans="2:3" x14ac:dyDescent="0.35">
      <c r="B62" s="3" t="s">
        <v>26</v>
      </c>
      <c r="C62" s="18">
        <v>1</v>
      </c>
    </row>
    <row r="63" spans="2:3" x14ac:dyDescent="0.35">
      <c r="B63" s="3" t="s">
        <v>21</v>
      </c>
      <c r="C63" s="18">
        <v>1</v>
      </c>
    </row>
    <row r="64" spans="2:3" x14ac:dyDescent="0.35">
      <c r="B64" s="3" t="s">
        <v>13</v>
      </c>
      <c r="C64" s="18">
        <v>4</v>
      </c>
    </row>
    <row r="65" spans="2:3" x14ac:dyDescent="0.35">
      <c r="B65" s="3" t="s">
        <v>22</v>
      </c>
      <c r="C65" s="18">
        <v>1</v>
      </c>
    </row>
    <row r="66" spans="2:3" x14ac:dyDescent="0.35">
      <c r="B66" s="2" t="s">
        <v>47</v>
      </c>
      <c r="C66" s="18">
        <v>15</v>
      </c>
    </row>
    <row r="67" spans="2:3" x14ac:dyDescent="0.35">
      <c r="B67" s="3" t="s">
        <v>40</v>
      </c>
      <c r="C67" s="18">
        <v>0</v>
      </c>
    </row>
    <row r="68" spans="2:3" x14ac:dyDescent="0.35">
      <c r="B68" s="3" t="s">
        <v>32</v>
      </c>
      <c r="C68" s="18">
        <v>0</v>
      </c>
    </row>
    <row r="69" spans="2:3" x14ac:dyDescent="0.35">
      <c r="B69" s="3" t="s">
        <v>26</v>
      </c>
      <c r="C69" s="18">
        <v>5</v>
      </c>
    </row>
    <row r="70" spans="2:3" x14ac:dyDescent="0.35">
      <c r="B70" s="3" t="s">
        <v>21</v>
      </c>
      <c r="C70" s="18">
        <v>4</v>
      </c>
    </row>
    <row r="71" spans="2:3" x14ac:dyDescent="0.35">
      <c r="B71" s="3" t="s">
        <v>13</v>
      </c>
      <c r="C71" s="18">
        <v>3</v>
      </c>
    </row>
    <row r="72" spans="2:3" x14ac:dyDescent="0.35">
      <c r="B72" s="3" t="s">
        <v>22</v>
      </c>
      <c r="C72" s="18">
        <v>3</v>
      </c>
    </row>
    <row r="73" spans="2:3" x14ac:dyDescent="0.35">
      <c r="B73" s="2" t="s">
        <v>42</v>
      </c>
      <c r="C73" s="18">
        <v>12</v>
      </c>
    </row>
    <row r="74" spans="2:3" x14ac:dyDescent="0.35">
      <c r="B74" s="3" t="s">
        <v>40</v>
      </c>
      <c r="C74" s="18">
        <v>3</v>
      </c>
    </row>
    <row r="75" spans="2:3" x14ac:dyDescent="0.35">
      <c r="B75" s="3" t="s">
        <v>32</v>
      </c>
      <c r="C75" s="18">
        <v>2</v>
      </c>
    </row>
    <row r="76" spans="2:3" x14ac:dyDescent="0.35">
      <c r="B76" s="3" t="s">
        <v>26</v>
      </c>
      <c r="C76" s="18">
        <v>2</v>
      </c>
    </row>
    <row r="77" spans="2:3" x14ac:dyDescent="0.35">
      <c r="B77" s="3" t="s">
        <v>21</v>
      </c>
      <c r="C77" s="18">
        <v>0</v>
      </c>
    </row>
    <row r="78" spans="2:3" x14ac:dyDescent="0.35">
      <c r="B78" s="3" t="s">
        <v>13</v>
      </c>
      <c r="C78" s="18">
        <v>4</v>
      </c>
    </row>
    <row r="79" spans="2:3" x14ac:dyDescent="0.35">
      <c r="B79" s="3" t="s">
        <v>22</v>
      </c>
      <c r="C79" s="18">
        <v>1</v>
      </c>
    </row>
    <row r="80" spans="2:3" x14ac:dyDescent="0.35">
      <c r="B80" s="2" t="s">
        <v>17</v>
      </c>
      <c r="C80" s="18">
        <v>12</v>
      </c>
    </row>
    <row r="81" spans="2:3" x14ac:dyDescent="0.35">
      <c r="B81" s="3" t="s">
        <v>40</v>
      </c>
      <c r="C81" s="18">
        <v>0</v>
      </c>
    </row>
    <row r="82" spans="2:3" x14ac:dyDescent="0.35">
      <c r="B82" s="3" t="s">
        <v>32</v>
      </c>
      <c r="C82" s="18">
        <v>2</v>
      </c>
    </row>
    <row r="83" spans="2:3" x14ac:dyDescent="0.35">
      <c r="B83" s="3" t="s">
        <v>26</v>
      </c>
      <c r="C83" s="18">
        <v>0</v>
      </c>
    </row>
    <row r="84" spans="2:3" x14ac:dyDescent="0.35">
      <c r="B84" s="3" t="s">
        <v>21</v>
      </c>
      <c r="C84" s="18">
        <v>4</v>
      </c>
    </row>
    <row r="85" spans="2:3" x14ac:dyDescent="0.35">
      <c r="B85" s="3" t="s">
        <v>13</v>
      </c>
      <c r="C85" s="18">
        <v>2</v>
      </c>
    </row>
    <row r="86" spans="2:3" x14ac:dyDescent="0.35">
      <c r="B86" s="3" t="s">
        <v>22</v>
      </c>
      <c r="C86" s="18">
        <v>4</v>
      </c>
    </row>
    <row r="87" spans="2:3" x14ac:dyDescent="0.35">
      <c r="B87" s="2" t="s">
        <v>64</v>
      </c>
      <c r="C87" s="18">
        <v>8</v>
      </c>
    </row>
    <row r="88" spans="2:3" x14ac:dyDescent="0.35">
      <c r="B88" s="3" t="s">
        <v>40</v>
      </c>
      <c r="C88" s="18">
        <v>2</v>
      </c>
    </row>
    <row r="89" spans="2:3" x14ac:dyDescent="0.35">
      <c r="B89" s="3" t="s">
        <v>32</v>
      </c>
      <c r="C89" s="18">
        <v>1</v>
      </c>
    </row>
    <row r="90" spans="2:3" x14ac:dyDescent="0.35">
      <c r="B90" s="3" t="s">
        <v>26</v>
      </c>
      <c r="C90" s="18">
        <v>0</v>
      </c>
    </row>
    <row r="91" spans="2:3" x14ac:dyDescent="0.35">
      <c r="B91" s="3" t="s">
        <v>21</v>
      </c>
      <c r="C91" s="18">
        <v>1</v>
      </c>
    </row>
    <row r="92" spans="2:3" x14ac:dyDescent="0.35">
      <c r="B92" s="3" t="s">
        <v>13</v>
      </c>
      <c r="C92" s="18">
        <v>0</v>
      </c>
    </row>
    <row r="93" spans="2:3" x14ac:dyDescent="0.35">
      <c r="B93" s="3" t="s">
        <v>22</v>
      </c>
      <c r="C93" s="18">
        <v>4</v>
      </c>
    </row>
    <row r="94" spans="2:3" x14ac:dyDescent="0.35">
      <c r="B94" s="2" t="s">
        <v>39</v>
      </c>
      <c r="C94" s="18">
        <v>15</v>
      </c>
    </row>
    <row r="95" spans="2:3" x14ac:dyDescent="0.35">
      <c r="B95" s="3" t="s">
        <v>40</v>
      </c>
      <c r="C95" s="18">
        <v>4</v>
      </c>
    </row>
    <row r="96" spans="2:3" x14ac:dyDescent="0.35">
      <c r="B96" s="3" t="s">
        <v>32</v>
      </c>
      <c r="C96" s="18">
        <v>2</v>
      </c>
    </row>
    <row r="97" spans="2:3" x14ac:dyDescent="0.35">
      <c r="B97" s="3" t="s">
        <v>26</v>
      </c>
      <c r="C97" s="18">
        <v>2</v>
      </c>
    </row>
    <row r="98" spans="2:3" x14ac:dyDescent="0.35">
      <c r="B98" s="3" t="s">
        <v>21</v>
      </c>
      <c r="C98" s="18">
        <v>2</v>
      </c>
    </row>
    <row r="99" spans="2:3" x14ac:dyDescent="0.35">
      <c r="B99" s="3" t="s">
        <v>13</v>
      </c>
      <c r="C99" s="18">
        <v>4</v>
      </c>
    </row>
    <row r="100" spans="2:3" x14ac:dyDescent="0.35">
      <c r="B100" s="3" t="s">
        <v>22</v>
      </c>
      <c r="C100" s="18">
        <v>1</v>
      </c>
    </row>
    <row r="101" spans="2:3" x14ac:dyDescent="0.35">
      <c r="B101" s="2" t="s">
        <v>51</v>
      </c>
      <c r="C101" s="18">
        <v>15</v>
      </c>
    </row>
    <row r="102" spans="2:3" x14ac:dyDescent="0.35">
      <c r="B102" s="3" t="s">
        <v>40</v>
      </c>
      <c r="C102" s="18">
        <v>3</v>
      </c>
    </row>
    <row r="103" spans="2:3" x14ac:dyDescent="0.35">
      <c r="B103" s="3" t="s">
        <v>32</v>
      </c>
      <c r="C103" s="18">
        <v>2</v>
      </c>
    </row>
    <row r="104" spans="2:3" x14ac:dyDescent="0.35">
      <c r="B104" s="3" t="s">
        <v>26</v>
      </c>
      <c r="C104" s="18">
        <v>2</v>
      </c>
    </row>
    <row r="105" spans="2:3" x14ac:dyDescent="0.35">
      <c r="B105" s="3" t="s">
        <v>21</v>
      </c>
      <c r="C105" s="18">
        <v>1</v>
      </c>
    </row>
    <row r="106" spans="2:3" x14ac:dyDescent="0.35">
      <c r="B106" s="3" t="s">
        <v>13</v>
      </c>
      <c r="C106" s="18">
        <v>6</v>
      </c>
    </row>
    <row r="107" spans="2:3" x14ac:dyDescent="0.35">
      <c r="B107" s="3" t="s">
        <v>22</v>
      </c>
      <c r="C107" s="18">
        <v>1</v>
      </c>
    </row>
    <row r="108" spans="2:3" x14ac:dyDescent="0.35">
      <c r="B108" s="2" t="s">
        <v>57</v>
      </c>
      <c r="C108" s="18">
        <v>14</v>
      </c>
    </row>
    <row r="109" spans="2:3" x14ac:dyDescent="0.35">
      <c r="B109" s="3" t="s">
        <v>40</v>
      </c>
      <c r="C109" s="18">
        <v>3</v>
      </c>
    </row>
    <row r="110" spans="2:3" x14ac:dyDescent="0.35">
      <c r="B110" s="3" t="s">
        <v>32</v>
      </c>
      <c r="C110" s="18">
        <v>4</v>
      </c>
    </row>
    <row r="111" spans="2:3" x14ac:dyDescent="0.35">
      <c r="B111" s="3" t="s">
        <v>26</v>
      </c>
      <c r="C111" s="18">
        <v>1</v>
      </c>
    </row>
    <row r="112" spans="2:3" x14ac:dyDescent="0.35">
      <c r="B112" s="3" t="s">
        <v>21</v>
      </c>
      <c r="C112" s="18">
        <v>6</v>
      </c>
    </row>
    <row r="113" spans="2:3" x14ac:dyDescent="0.35">
      <c r="B113" s="3" t="s">
        <v>13</v>
      </c>
      <c r="C113" s="18">
        <v>0</v>
      </c>
    </row>
    <row r="114" spans="2:3" x14ac:dyDescent="0.35">
      <c r="B114" s="3" t="s">
        <v>22</v>
      </c>
      <c r="C114" s="18">
        <v>0</v>
      </c>
    </row>
    <row r="115" spans="2:3" x14ac:dyDescent="0.35">
      <c r="B115" s="2" t="s">
        <v>54</v>
      </c>
      <c r="C115" s="18">
        <v>11</v>
      </c>
    </row>
    <row r="116" spans="2:3" x14ac:dyDescent="0.35">
      <c r="B116" s="3" t="s">
        <v>40</v>
      </c>
      <c r="C116" s="18">
        <v>2</v>
      </c>
    </row>
    <row r="117" spans="2:3" x14ac:dyDescent="0.35">
      <c r="B117" s="3" t="s">
        <v>32</v>
      </c>
      <c r="C117" s="18">
        <v>2</v>
      </c>
    </row>
    <row r="118" spans="2:3" x14ac:dyDescent="0.35">
      <c r="B118" s="3" t="s">
        <v>26</v>
      </c>
      <c r="C118" s="18">
        <v>0</v>
      </c>
    </row>
    <row r="119" spans="2:3" x14ac:dyDescent="0.35">
      <c r="B119" s="3" t="s">
        <v>21</v>
      </c>
      <c r="C119" s="18">
        <v>2</v>
      </c>
    </row>
    <row r="120" spans="2:3" x14ac:dyDescent="0.35">
      <c r="B120" s="3" t="s">
        <v>13</v>
      </c>
      <c r="C120" s="18">
        <v>3</v>
      </c>
    </row>
    <row r="121" spans="2:3" x14ac:dyDescent="0.35">
      <c r="B121" s="3" t="s">
        <v>22</v>
      </c>
      <c r="C121" s="18">
        <v>2</v>
      </c>
    </row>
    <row r="122" spans="2:3" x14ac:dyDescent="0.35">
      <c r="B122" s="2" t="s">
        <v>63</v>
      </c>
      <c r="C122" s="18">
        <v>15</v>
      </c>
    </row>
    <row r="123" spans="2:3" x14ac:dyDescent="0.35">
      <c r="B123" s="3" t="s">
        <v>40</v>
      </c>
      <c r="C123" s="18">
        <v>0</v>
      </c>
    </row>
    <row r="124" spans="2:3" x14ac:dyDescent="0.35">
      <c r="B124" s="3" t="s">
        <v>32</v>
      </c>
      <c r="C124" s="18">
        <v>1</v>
      </c>
    </row>
    <row r="125" spans="2:3" x14ac:dyDescent="0.35">
      <c r="B125" s="3" t="s">
        <v>26</v>
      </c>
      <c r="C125" s="18">
        <v>7</v>
      </c>
    </row>
    <row r="126" spans="2:3" x14ac:dyDescent="0.35">
      <c r="B126" s="3" t="s">
        <v>21</v>
      </c>
      <c r="C126" s="18">
        <v>2</v>
      </c>
    </row>
    <row r="127" spans="2:3" x14ac:dyDescent="0.35">
      <c r="B127" s="3" t="s">
        <v>13</v>
      </c>
      <c r="C127" s="18">
        <v>2</v>
      </c>
    </row>
    <row r="128" spans="2:3" x14ac:dyDescent="0.35">
      <c r="B128" s="3" t="s">
        <v>22</v>
      </c>
      <c r="C128" s="18">
        <v>3</v>
      </c>
    </row>
    <row r="129" spans="2:3" x14ac:dyDescent="0.35">
      <c r="B129" s="2" t="s">
        <v>52</v>
      </c>
      <c r="C129" s="18">
        <v>12</v>
      </c>
    </row>
    <row r="130" spans="2:3" x14ac:dyDescent="0.35">
      <c r="B130" s="3" t="s">
        <v>40</v>
      </c>
      <c r="C130" s="18">
        <v>2</v>
      </c>
    </row>
    <row r="131" spans="2:3" x14ac:dyDescent="0.35">
      <c r="B131" s="3" t="s">
        <v>32</v>
      </c>
      <c r="C131" s="18">
        <v>3</v>
      </c>
    </row>
    <row r="132" spans="2:3" x14ac:dyDescent="0.35">
      <c r="B132" s="3" t="s">
        <v>26</v>
      </c>
      <c r="C132" s="18">
        <v>2</v>
      </c>
    </row>
    <row r="133" spans="2:3" x14ac:dyDescent="0.35">
      <c r="B133" s="3" t="s">
        <v>21</v>
      </c>
      <c r="C133" s="18">
        <v>2</v>
      </c>
    </row>
    <row r="134" spans="2:3" x14ac:dyDescent="0.35">
      <c r="B134" s="3" t="s">
        <v>13</v>
      </c>
      <c r="C134" s="18">
        <v>0</v>
      </c>
    </row>
    <row r="135" spans="2:3" x14ac:dyDescent="0.35">
      <c r="B135" s="3" t="s">
        <v>22</v>
      </c>
      <c r="C135" s="18">
        <v>3</v>
      </c>
    </row>
    <row r="136" spans="2:3" x14ac:dyDescent="0.35">
      <c r="B136" s="2" t="s">
        <v>60</v>
      </c>
      <c r="C136" s="18">
        <v>7</v>
      </c>
    </row>
    <row r="137" spans="2:3" x14ac:dyDescent="0.35">
      <c r="B137" s="3" t="s">
        <v>40</v>
      </c>
      <c r="C137" s="18">
        <v>1</v>
      </c>
    </row>
    <row r="138" spans="2:3" x14ac:dyDescent="0.35">
      <c r="B138" s="3" t="s">
        <v>32</v>
      </c>
      <c r="C138" s="18">
        <v>1</v>
      </c>
    </row>
    <row r="139" spans="2:3" x14ac:dyDescent="0.35">
      <c r="B139" s="3" t="s">
        <v>26</v>
      </c>
      <c r="C139" s="18">
        <v>1</v>
      </c>
    </row>
    <row r="140" spans="2:3" x14ac:dyDescent="0.35">
      <c r="B140" s="3" t="s">
        <v>21</v>
      </c>
      <c r="C140" s="18">
        <v>1</v>
      </c>
    </row>
    <row r="141" spans="2:3" x14ac:dyDescent="0.35">
      <c r="B141" s="3" t="s">
        <v>13</v>
      </c>
      <c r="C141" s="18">
        <v>3</v>
      </c>
    </row>
    <row r="142" spans="2:3" x14ac:dyDescent="0.35">
      <c r="B142" s="3" t="s">
        <v>22</v>
      </c>
      <c r="C142" s="18">
        <v>0</v>
      </c>
    </row>
    <row r="143" spans="2:3" x14ac:dyDescent="0.35">
      <c r="B143" s="2" t="s">
        <v>66</v>
      </c>
      <c r="C143" s="18">
        <v>243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D7D1B-67AB-40F9-9A0D-794FA4B15C29}">
  <dimension ref="B2:F9"/>
  <sheetViews>
    <sheetView workbookViewId="0">
      <selection activeCell="F14" sqref="F14"/>
    </sheetView>
  </sheetViews>
  <sheetFormatPr defaultRowHeight="14.5" x14ac:dyDescent="0.35"/>
  <cols>
    <col min="2" max="2" width="12.453125" bestFit="1" customWidth="1"/>
    <col min="3" max="3" width="22.26953125" bestFit="1" customWidth="1"/>
    <col min="5" max="5" width="11.1796875" bestFit="1" customWidth="1"/>
    <col min="6" max="6" width="21.36328125" bestFit="1" customWidth="1"/>
  </cols>
  <sheetData>
    <row r="2" spans="2:6" x14ac:dyDescent="0.35">
      <c r="B2" s="1" t="s">
        <v>65</v>
      </c>
      <c r="C2" t="s">
        <v>67</v>
      </c>
      <c r="E2" t="str">
        <f>B2</f>
        <v>Row Labels</v>
      </c>
      <c r="F2" t="str">
        <f>C2</f>
        <v>Sum of Patients Admitted</v>
      </c>
    </row>
    <row r="3" spans="2:6" x14ac:dyDescent="0.35">
      <c r="B3" s="2" t="s">
        <v>14</v>
      </c>
      <c r="C3" s="18">
        <v>814</v>
      </c>
      <c r="E3" t="str">
        <f t="shared" ref="E3:F8" si="0">B3</f>
        <v>Admission</v>
      </c>
      <c r="F3">
        <f t="shared" si="0"/>
        <v>814</v>
      </c>
    </row>
    <row r="4" spans="2:6" x14ac:dyDescent="0.35">
      <c r="B4" s="2" t="s">
        <v>27</v>
      </c>
      <c r="C4" s="18">
        <v>734</v>
      </c>
      <c r="E4" t="str">
        <f t="shared" si="0"/>
        <v>Consultation</v>
      </c>
      <c r="F4">
        <f t="shared" si="0"/>
        <v>734</v>
      </c>
    </row>
    <row r="5" spans="2:6" x14ac:dyDescent="0.35">
      <c r="B5" s="2" t="s">
        <v>18</v>
      </c>
      <c r="C5" s="18">
        <v>891</v>
      </c>
      <c r="E5" t="str">
        <f t="shared" si="0"/>
        <v>Delivery</v>
      </c>
      <c r="F5">
        <f t="shared" si="0"/>
        <v>891</v>
      </c>
    </row>
    <row r="6" spans="2:6" x14ac:dyDescent="0.35">
      <c r="B6" s="2" t="s">
        <v>30</v>
      </c>
      <c r="C6" s="18">
        <v>763</v>
      </c>
      <c r="E6" t="str">
        <f t="shared" si="0"/>
        <v>Lab Test</v>
      </c>
      <c r="F6">
        <f t="shared" si="0"/>
        <v>763</v>
      </c>
    </row>
    <row r="7" spans="2:6" x14ac:dyDescent="0.35">
      <c r="B7" s="2" t="s">
        <v>53</v>
      </c>
      <c r="C7" s="18">
        <v>735</v>
      </c>
      <c r="E7" t="str">
        <f t="shared" si="0"/>
        <v>Medication</v>
      </c>
      <c r="F7">
        <f t="shared" si="0"/>
        <v>735</v>
      </c>
    </row>
    <row r="8" spans="2:6" x14ac:dyDescent="0.35">
      <c r="B8" s="2" t="s">
        <v>22</v>
      </c>
      <c r="C8" s="18">
        <v>915</v>
      </c>
      <c r="E8" t="str">
        <f t="shared" si="0"/>
        <v>Surgery</v>
      </c>
      <c r="F8">
        <f t="shared" si="0"/>
        <v>915</v>
      </c>
    </row>
    <row r="9" spans="2:6" x14ac:dyDescent="0.35">
      <c r="B9" s="2" t="s">
        <v>66</v>
      </c>
      <c r="C9" s="18">
        <v>4852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59BE4-2981-46CC-A4D9-C3661FD65B7B}">
  <dimension ref="B2:H23"/>
  <sheetViews>
    <sheetView topLeftCell="C2" workbookViewId="0">
      <selection activeCell="C23" sqref="C23"/>
    </sheetView>
  </sheetViews>
  <sheetFormatPr defaultRowHeight="14.5" x14ac:dyDescent="0.35"/>
  <cols>
    <col min="2" max="2" width="25.36328125" bestFit="1" customWidth="1"/>
    <col min="3" max="3" width="24" bestFit="1" customWidth="1"/>
    <col min="4" max="4" width="22.26953125" bestFit="1" customWidth="1"/>
    <col min="6" max="6" width="25.36328125" bestFit="1" customWidth="1"/>
    <col min="7" max="7" width="23.1796875" bestFit="1" customWidth="1"/>
    <col min="8" max="8" width="21.36328125" bestFit="1" customWidth="1"/>
  </cols>
  <sheetData>
    <row r="2" spans="2:8" x14ac:dyDescent="0.35">
      <c r="B2" s="1" t="s">
        <v>65</v>
      </c>
      <c r="C2" t="s">
        <v>69</v>
      </c>
      <c r="D2" t="s">
        <v>67</v>
      </c>
      <c r="F2" t="str">
        <f>B2</f>
        <v>Row Labels</v>
      </c>
      <c r="G2" t="str">
        <f t="shared" ref="G2:H9" si="0">C2</f>
        <v>Sum of Patients Discharged</v>
      </c>
      <c r="H2" t="str">
        <f t="shared" si="0"/>
        <v>Sum of Patients Admitted</v>
      </c>
    </row>
    <row r="3" spans="2:8" x14ac:dyDescent="0.35">
      <c r="B3" s="2" t="s">
        <v>62</v>
      </c>
      <c r="C3" s="18">
        <v>208</v>
      </c>
      <c r="D3" s="18">
        <v>237</v>
      </c>
      <c r="F3" t="str">
        <f t="shared" ref="F3:F9" si="1">B3</f>
        <v>Adeoyo Maternity Hospital</v>
      </c>
      <c r="G3">
        <f t="shared" si="0"/>
        <v>208</v>
      </c>
      <c r="H3">
        <f t="shared" si="0"/>
        <v>237</v>
      </c>
    </row>
    <row r="4" spans="2:8" x14ac:dyDescent="0.35">
      <c r="B4" s="2" t="s">
        <v>25</v>
      </c>
      <c r="C4" s="18">
        <v>175</v>
      </c>
      <c r="D4" s="18">
        <v>192</v>
      </c>
      <c r="F4" t="str">
        <f t="shared" si="1"/>
        <v>Amaku General Hospital</v>
      </c>
      <c r="G4">
        <f t="shared" si="0"/>
        <v>175</v>
      </c>
      <c r="H4">
        <f t="shared" si="0"/>
        <v>192</v>
      </c>
    </row>
    <row r="5" spans="2:8" x14ac:dyDescent="0.35">
      <c r="B5" s="2" t="s">
        <v>44</v>
      </c>
      <c r="C5" s="18">
        <v>191</v>
      </c>
      <c r="D5" s="18">
        <v>212</v>
      </c>
      <c r="F5" t="str">
        <f t="shared" si="1"/>
        <v>Aminu Kano Teaching Hospital</v>
      </c>
      <c r="G5">
        <f t="shared" si="0"/>
        <v>191</v>
      </c>
      <c r="H5">
        <f t="shared" si="0"/>
        <v>212</v>
      </c>
    </row>
    <row r="6" spans="2:8" x14ac:dyDescent="0.35">
      <c r="B6" s="2" t="s">
        <v>12</v>
      </c>
      <c r="C6" s="18">
        <v>175</v>
      </c>
      <c r="D6" s="18">
        <v>195</v>
      </c>
      <c r="F6" t="str">
        <f t="shared" si="1"/>
        <v>Asaba General Hospital</v>
      </c>
      <c r="G6">
        <f t="shared" si="0"/>
        <v>175</v>
      </c>
      <c r="H6">
        <f t="shared" si="0"/>
        <v>195</v>
      </c>
    </row>
    <row r="7" spans="2:8" x14ac:dyDescent="0.35">
      <c r="B7" s="2" t="s">
        <v>38</v>
      </c>
      <c r="C7" s="18">
        <v>278</v>
      </c>
      <c r="D7" s="18">
        <v>311</v>
      </c>
      <c r="F7" t="str">
        <f t="shared" si="1"/>
        <v>Barau Dikko Hospital</v>
      </c>
      <c r="G7">
        <f t="shared" si="0"/>
        <v>278</v>
      </c>
      <c r="H7">
        <f t="shared" si="0"/>
        <v>311</v>
      </c>
    </row>
    <row r="8" spans="2:8" x14ac:dyDescent="0.35">
      <c r="B8" s="2" t="s">
        <v>49</v>
      </c>
      <c r="C8" s="18">
        <v>278</v>
      </c>
      <c r="D8" s="18">
        <v>300</v>
      </c>
      <c r="F8" t="str">
        <f t="shared" si="1"/>
        <v>Braithwaite Memorial Hospital</v>
      </c>
      <c r="G8">
        <f t="shared" si="0"/>
        <v>278</v>
      </c>
      <c r="H8">
        <f t="shared" si="0"/>
        <v>300</v>
      </c>
    </row>
    <row r="9" spans="2:8" x14ac:dyDescent="0.35">
      <c r="B9" s="2" t="s">
        <v>35</v>
      </c>
      <c r="C9" s="18">
        <v>276</v>
      </c>
      <c r="D9" s="18">
        <v>318</v>
      </c>
      <c r="F9" t="str">
        <f t="shared" si="1"/>
        <v>Central Hospital Benin</v>
      </c>
      <c r="G9">
        <f t="shared" si="0"/>
        <v>276</v>
      </c>
      <c r="H9">
        <f t="shared" si="0"/>
        <v>318</v>
      </c>
    </row>
    <row r="10" spans="2:8" x14ac:dyDescent="0.35">
      <c r="B10" s="2" t="s">
        <v>58</v>
      </c>
      <c r="C10" s="18">
        <v>241</v>
      </c>
      <c r="D10" s="18">
        <v>255</v>
      </c>
    </row>
    <row r="11" spans="2:8" x14ac:dyDescent="0.35">
      <c r="B11" s="2" t="s">
        <v>29</v>
      </c>
      <c r="C11" s="18">
        <v>188</v>
      </c>
      <c r="D11" s="18">
        <v>214</v>
      </c>
    </row>
    <row r="12" spans="2:8" x14ac:dyDescent="0.35">
      <c r="B12" s="2" t="s">
        <v>47</v>
      </c>
      <c r="C12" s="18">
        <v>227</v>
      </c>
      <c r="D12" s="18">
        <v>259</v>
      </c>
    </row>
    <row r="13" spans="2:8" x14ac:dyDescent="0.35">
      <c r="B13" s="2" t="s">
        <v>42</v>
      </c>
      <c r="C13" s="18">
        <v>212</v>
      </c>
      <c r="D13" s="18">
        <v>232</v>
      </c>
    </row>
    <row r="14" spans="2:8" x14ac:dyDescent="0.35">
      <c r="B14" s="2" t="s">
        <v>17</v>
      </c>
      <c r="C14" s="18">
        <v>260</v>
      </c>
      <c r="D14" s="18">
        <v>280</v>
      </c>
    </row>
    <row r="15" spans="2:8" x14ac:dyDescent="0.35">
      <c r="B15" s="2" t="s">
        <v>64</v>
      </c>
      <c r="C15" s="18">
        <v>162</v>
      </c>
      <c r="D15" s="18">
        <v>180</v>
      </c>
    </row>
    <row r="16" spans="2:8" x14ac:dyDescent="0.35">
      <c r="B16" s="2" t="s">
        <v>39</v>
      </c>
      <c r="C16" s="18">
        <v>292</v>
      </c>
      <c r="D16" s="18">
        <v>318</v>
      </c>
    </row>
    <row r="17" spans="2:4" x14ac:dyDescent="0.35">
      <c r="B17" s="2" t="s">
        <v>51</v>
      </c>
      <c r="C17" s="18">
        <v>239</v>
      </c>
      <c r="D17" s="18">
        <v>254</v>
      </c>
    </row>
    <row r="18" spans="2:4" x14ac:dyDescent="0.35">
      <c r="B18" s="2" t="s">
        <v>57</v>
      </c>
      <c r="C18" s="18">
        <v>216</v>
      </c>
      <c r="D18" s="18">
        <v>232</v>
      </c>
    </row>
    <row r="19" spans="2:4" x14ac:dyDescent="0.35">
      <c r="B19" s="2" t="s">
        <v>54</v>
      </c>
      <c r="C19" s="18">
        <v>202</v>
      </c>
      <c r="D19" s="18">
        <v>227</v>
      </c>
    </row>
    <row r="20" spans="2:4" x14ac:dyDescent="0.35">
      <c r="B20" s="2" t="s">
        <v>63</v>
      </c>
      <c r="C20" s="18">
        <v>219</v>
      </c>
      <c r="D20" s="18">
        <v>249</v>
      </c>
    </row>
    <row r="21" spans="2:4" x14ac:dyDescent="0.35">
      <c r="B21" s="2" t="s">
        <v>52</v>
      </c>
      <c r="C21" s="18">
        <v>196</v>
      </c>
      <c r="D21" s="18">
        <v>218</v>
      </c>
    </row>
    <row r="22" spans="2:4" x14ac:dyDescent="0.35">
      <c r="B22" s="2" t="s">
        <v>60</v>
      </c>
      <c r="C22" s="18">
        <v>154</v>
      </c>
      <c r="D22" s="18">
        <v>169</v>
      </c>
    </row>
    <row r="23" spans="2:4" x14ac:dyDescent="0.35">
      <c r="B23" s="2" t="s">
        <v>66</v>
      </c>
      <c r="C23" s="18">
        <v>4389</v>
      </c>
      <c r="D23" s="18">
        <v>4852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BB64B-2B97-48BB-A959-2E1080F6B02A}">
  <dimension ref="B2:H23"/>
  <sheetViews>
    <sheetView topLeftCell="B1" workbookViewId="0">
      <selection activeCell="F2" sqref="F2"/>
    </sheetView>
  </sheetViews>
  <sheetFormatPr defaultRowHeight="14.5" x14ac:dyDescent="0.35"/>
  <cols>
    <col min="2" max="2" width="25.36328125" bestFit="1" customWidth="1"/>
    <col min="3" max="3" width="19.81640625" bestFit="1" customWidth="1"/>
    <col min="6" max="6" width="12.453125" bestFit="1" customWidth="1"/>
  </cols>
  <sheetData>
    <row r="2" spans="2:8" x14ac:dyDescent="0.35">
      <c r="B2" s="1" t="s">
        <v>65</v>
      </c>
      <c r="C2" t="s">
        <v>68</v>
      </c>
      <c r="F2" s="5"/>
      <c r="G2" s="6"/>
      <c r="H2" s="7"/>
    </row>
    <row r="3" spans="2:8" x14ac:dyDescent="0.35">
      <c r="B3" s="2" t="s">
        <v>62</v>
      </c>
      <c r="C3" s="18">
        <v>134.50000000000003</v>
      </c>
      <c r="F3" s="8"/>
      <c r="G3" s="9"/>
      <c r="H3" s="10"/>
    </row>
    <row r="4" spans="2:8" x14ac:dyDescent="0.35">
      <c r="B4" s="2" t="s">
        <v>25</v>
      </c>
      <c r="C4" s="18">
        <v>130.90000000000003</v>
      </c>
      <c r="F4" s="8"/>
      <c r="G4" s="9"/>
      <c r="H4" s="10"/>
    </row>
    <row r="5" spans="2:8" x14ac:dyDescent="0.35">
      <c r="B5" s="2" t="s">
        <v>44</v>
      </c>
      <c r="C5" s="18">
        <v>122.50000000000003</v>
      </c>
      <c r="F5" s="8"/>
      <c r="G5" s="9"/>
      <c r="H5" s="10"/>
    </row>
    <row r="6" spans="2:8" x14ac:dyDescent="0.35">
      <c r="B6" s="2" t="s">
        <v>12</v>
      </c>
      <c r="C6" s="18">
        <v>138.89999999999998</v>
      </c>
      <c r="F6" s="8"/>
      <c r="G6" s="9"/>
      <c r="H6" s="10"/>
    </row>
    <row r="7" spans="2:8" x14ac:dyDescent="0.35">
      <c r="B7" s="2" t="s">
        <v>38</v>
      </c>
      <c r="C7" s="18">
        <v>181.60000000000002</v>
      </c>
      <c r="F7" s="8"/>
      <c r="G7" s="9"/>
      <c r="H7" s="10"/>
    </row>
    <row r="8" spans="2:8" x14ac:dyDescent="0.35">
      <c r="B8" s="2" t="s">
        <v>49</v>
      </c>
      <c r="C8" s="18">
        <v>184.8</v>
      </c>
      <c r="F8" s="8"/>
      <c r="G8" s="9"/>
      <c r="H8" s="10"/>
    </row>
    <row r="9" spans="2:8" x14ac:dyDescent="0.35">
      <c r="B9" s="2" t="s">
        <v>35</v>
      </c>
      <c r="C9" s="18">
        <v>154.80000000000004</v>
      </c>
      <c r="F9" s="8"/>
      <c r="G9" s="9"/>
      <c r="H9" s="10"/>
    </row>
    <row r="10" spans="2:8" x14ac:dyDescent="0.35">
      <c r="B10" s="2" t="s">
        <v>58</v>
      </c>
      <c r="C10" s="18">
        <v>149.5</v>
      </c>
      <c r="F10" s="8"/>
      <c r="G10" s="9"/>
      <c r="H10" s="10"/>
    </row>
    <row r="11" spans="2:8" x14ac:dyDescent="0.35">
      <c r="B11" s="2" t="s">
        <v>29</v>
      </c>
      <c r="C11" s="18">
        <v>134.5</v>
      </c>
      <c r="F11" s="8"/>
      <c r="G11" s="9"/>
      <c r="H11" s="10"/>
    </row>
    <row r="12" spans="2:8" x14ac:dyDescent="0.35">
      <c r="B12" s="2" t="s">
        <v>47</v>
      </c>
      <c r="C12" s="18">
        <v>161.5</v>
      </c>
      <c r="F12" s="8"/>
      <c r="G12" s="9"/>
      <c r="H12" s="10"/>
    </row>
    <row r="13" spans="2:8" x14ac:dyDescent="0.35">
      <c r="B13" s="2" t="s">
        <v>42</v>
      </c>
      <c r="C13" s="18">
        <v>130.29999999999995</v>
      </c>
      <c r="F13" s="8"/>
      <c r="G13" s="9"/>
      <c r="H13" s="10"/>
    </row>
    <row r="14" spans="2:8" x14ac:dyDescent="0.35">
      <c r="B14" s="2" t="s">
        <v>17</v>
      </c>
      <c r="C14" s="18">
        <v>169.1</v>
      </c>
      <c r="F14" s="8"/>
      <c r="G14" s="9"/>
      <c r="H14" s="10"/>
    </row>
    <row r="15" spans="2:8" x14ac:dyDescent="0.35">
      <c r="B15" s="2" t="s">
        <v>64</v>
      </c>
      <c r="C15" s="18">
        <v>110.69999999999996</v>
      </c>
      <c r="F15" s="8"/>
      <c r="G15" s="9"/>
      <c r="H15" s="10"/>
    </row>
    <row r="16" spans="2:8" x14ac:dyDescent="0.35">
      <c r="B16" s="2" t="s">
        <v>39</v>
      </c>
      <c r="C16" s="18">
        <v>198</v>
      </c>
      <c r="F16" s="8"/>
      <c r="G16" s="9"/>
      <c r="H16" s="10"/>
    </row>
    <row r="17" spans="2:8" x14ac:dyDescent="0.35">
      <c r="B17" s="2" t="s">
        <v>51</v>
      </c>
      <c r="C17" s="18">
        <v>174.79999999999998</v>
      </c>
      <c r="F17" s="8"/>
      <c r="G17" s="9"/>
      <c r="H17" s="10"/>
    </row>
    <row r="18" spans="2:8" x14ac:dyDescent="0.35">
      <c r="B18" s="2" t="s">
        <v>57</v>
      </c>
      <c r="C18" s="18">
        <v>139.19999999999999</v>
      </c>
      <c r="F18" s="8"/>
      <c r="G18" s="9"/>
      <c r="H18" s="10"/>
    </row>
    <row r="19" spans="2:8" x14ac:dyDescent="0.35">
      <c r="B19" s="2" t="s">
        <v>54</v>
      </c>
      <c r="C19" s="18">
        <v>150.60000000000002</v>
      </c>
      <c r="F19" s="11"/>
      <c r="G19" s="12"/>
      <c r="H19" s="13"/>
    </row>
    <row r="20" spans="2:8" x14ac:dyDescent="0.35">
      <c r="B20" s="2" t="s">
        <v>63</v>
      </c>
      <c r="C20" s="18">
        <v>153.89999999999995</v>
      </c>
    </row>
    <row r="21" spans="2:8" x14ac:dyDescent="0.35">
      <c r="B21" s="2" t="s">
        <v>52</v>
      </c>
      <c r="C21" s="18">
        <v>121.4</v>
      </c>
    </row>
    <row r="22" spans="2:8" x14ac:dyDescent="0.35">
      <c r="B22" s="2" t="s">
        <v>60</v>
      </c>
      <c r="C22" s="18">
        <v>104.90000000000003</v>
      </c>
    </row>
    <row r="23" spans="2:8" x14ac:dyDescent="0.35">
      <c r="B23" s="2" t="s">
        <v>66</v>
      </c>
      <c r="C23" s="18">
        <v>2946.4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AA365-1792-4704-86BD-9E00186E23E8}">
  <dimension ref="B2:C13"/>
  <sheetViews>
    <sheetView workbookViewId="0">
      <selection activeCell="B2" sqref="B2"/>
    </sheetView>
  </sheetViews>
  <sheetFormatPr defaultRowHeight="14.5" x14ac:dyDescent="0.35"/>
  <cols>
    <col min="2" max="2" width="12.453125" bestFit="1" customWidth="1"/>
    <col min="3" max="3" width="22.26953125" bestFit="1" customWidth="1"/>
  </cols>
  <sheetData>
    <row r="2" spans="2:3" x14ac:dyDescent="0.35">
      <c r="B2" s="1" t="s">
        <v>65</v>
      </c>
      <c r="C2" t="s">
        <v>67</v>
      </c>
    </row>
    <row r="3" spans="2:3" x14ac:dyDescent="0.35">
      <c r="B3" s="2" t="s">
        <v>24</v>
      </c>
      <c r="C3" s="18">
        <v>372</v>
      </c>
    </row>
    <row r="4" spans="2:3" x14ac:dyDescent="0.35">
      <c r="B4" s="2" t="s">
        <v>46</v>
      </c>
      <c r="C4" s="18">
        <v>486</v>
      </c>
    </row>
    <row r="5" spans="2:3" x14ac:dyDescent="0.35">
      <c r="B5" s="2" t="s">
        <v>11</v>
      </c>
      <c r="C5" s="18">
        <v>413</v>
      </c>
    </row>
    <row r="6" spans="2:3" x14ac:dyDescent="0.35">
      <c r="B6" s="2" t="s">
        <v>34</v>
      </c>
      <c r="C6" s="18">
        <v>572</v>
      </c>
    </row>
    <row r="7" spans="2:3" x14ac:dyDescent="0.35">
      <c r="B7" s="2" t="s">
        <v>16</v>
      </c>
      <c r="C7" s="18">
        <v>449</v>
      </c>
    </row>
    <row r="8" spans="2:3" x14ac:dyDescent="0.35">
      <c r="B8" s="2" t="s">
        <v>37</v>
      </c>
      <c r="C8" s="18">
        <v>629</v>
      </c>
    </row>
    <row r="9" spans="2:3" x14ac:dyDescent="0.35">
      <c r="B9" s="2" t="s">
        <v>41</v>
      </c>
      <c r="C9" s="18">
        <v>444</v>
      </c>
    </row>
    <row r="10" spans="2:3" x14ac:dyDescent="0.35">
      <c r="B10" s="2" t="s">
        <v>28</v>
      </c>
      <c r="C10" s="18">
        <v>469</v>
      </c>
    </row>
    <row r="11" spans="2:3" x14ac:dyDescent="0.35">
      <c r="B11" s="2" t="s">
        <v>56</v>
      </c>
      <c r="C11" s="18">
        <v>469</v>
      </c>
    </row>
    <row r="12" spans="2:3" x14ac:dyDescent="0.35">
      <c r="B12" s="2" t="s">
        <v>48</v>
      </c>
      <c r="C12" s="18">
        <v>549</v>
      </c>
    </row>
    <row r="13" spans="2:3" x14ac:dyDescent="0.35">
      <c r="B13" s="2" t="s">
        <v>66</v>
      </c>
      <c r="C13" s="18">
        <v>4852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3CD9C-8367-47E6-A359-71CF35A65F5A}">
  <dimension ref="B2:F63"/>
  <sheetViews>
    <sheetView topLeftCell="D1" workbookViewId="0">
      <selection activeCell="E2" sqref="E2"/>
    </sheetView>
  </sheetViews>
  <sheetFormatPr defaultRowHeight="14.5" x14ac:dyDescent="0.35"/>
  <cols>
    <col min="2" max="2" width="28.1796875" bestFit="1" customWidth="1"/>
    <col min="3" max="3" width="22.26953125" bestFit="1" customWidth="1"/>
    <col min="5" max="5" width="25.36328125" bestFit="1" customWidth="1"/>
    <col min="6" max="6" width="21.36328125" bestFit="1" customWidth="1"/>
    <col min="8" max="8" width="25.36328125" bestFit="1" customWidth="1"/>
    <col min="9" max="9" width="21.36328125" bestFit="1" customWidth="1"/>
  </cols>
  <sheetData>
    <row r="2" spans="2:6" x14ac:dyDescent="0.35">
      <c r="B2" s="1" t="s">
        <v>65</v>
      </c>
      <c r="C2" t="s">
        <v>67</v>
      </c>
      <c r="E2" t="str">
        <f>B2</f>
        <v>Row Labels</v>
      </c>
      <c r="F2" t="str">
        <f>C2</f>
        <v>Sum of Patients Admitted</v>
      </c>
    </row>
    <row r="3" spans="2:6" x14ac:dyDescent="0.35">
      <c r="B3" s="2" t="s">
        <v>62</v>
      </c>
      <c r="C3" s="18">
        <v>237</v>
      </c>
      <c r="E3" t="str">
        <f t="shared" ref="E3:F18" si="0">B3</f>
        <v>Adeoyo Maternity Hospital</v>
      </c>
      <c r="F3">
        <f t="shared" si="0"/>
        <v>237</v>
      </c>
    </row>
    <row r="4" spans="2:6" x14ac:dyDescent="0.35">
      <c r="B4" s="3" t="s">
        <v>15</v>
      </c>
      <c r="C4" s="18">
        <v>127</v>
      </c>
      <c r="E4" t="str">
        <f t="shared" si="0"/>
        <v>Female</v>
      </c>
      <c r="F4">
        <f t="shared" si="0"/>
        <v>127</v>
      </c>
    </row>
    <row r="5" spans="2:6" x14ac:dyDescent="0.35">
      <c r="B5" s="3" t="s">
        <v>19</v>
      </c>
      <c r="C5" s="18">
        <v>110</v>
      </c>
      <c r="E5" t="str">
        <f t="shared" si="0"/>
        <v>Male</v>
      </c>
      <c r="F5">
        <f t="shared" si="0"/>
        <v>110</v>
      </c>
    </row>
    <row r="6" spans="2:6" x14ac:dyDescent="0.35">
      <c r="B6" s="2" t="s">
        <v>25</v>
      </c>
      <c r="C6" s="18">
        <v>192</v>
      </c>
      <c r="E6" t="str">
        <f t="shared" si="0"/>
        <v>Amaku General Hospital</v>
      </c>
      <c r="F6">
        <f t="shared" si="0"/>
        <v>192</v>
      </c>
    </row>
    <row r="7" spans="2:6" x14ac:dyDescent="0.35">
      <c r="B7" s="3" t="s">
        <v>15</v>
      </c>
      <c r="C7" s="18">
        <v>120</v>
      </c>
      <c r="E7" t="str">
        <f t="shared" si="0"/>
        <v>Female</v>
      </c>
      <c r="F7">
        <f t="shared" si="0"/>
        <v>120</v>
      </c>
    </row>
    <row r="8" spans="2:6" x14ac:dyDescent="0.35">
      <c r="B8" s="3" t="s">
        <v>19</v>
      </c>
      <c r="C8" s="18">
        <v>72</v>
      </c>
      <c r="E8" t="str">
        <f t="shared" si="0"/>
        <v>Male</v>
      </c>
      <c r="F8">
        <f t="shared" si="0"/>
        <v>72</v>
      </c>
    </row>
    <row r="9" spans="2:6" x14ac:dyDescent="0.35">
      <c r="B9" s="2" t="s">
        <v>44</v>
      </c>
      <c r="C9" s="18">
        <v>212</v>
      </c>
      <c r="E9" t="str">
        <f t="shared" si="0"/>
        <v>Aminu Kano Teaching Hospital</v>
      </c>
      <c r="F9">
        <f t="shared" si="0"/>
        <v>212</v>
      </c>
    </row>
    <row r="10" spans="2:6" x14ac:dyDescent="0.35">
      <c r="B10" s="3" t="s">
        <v>15</v>
      </c>
      <c r="C10" s="18">
        <v>106</v>
      </c>
      <c r="E10" t="str">
        <f t="shared" si="0"/>
        <v>Female</v>
      </c>
      <c r="F10">
        <f t="shared" si="0"/>
        <v>106</v>
      </c>
    </row>
    <row r="11" spans="2:6" x14ac:dyDescent="0.35">
      <c r="B11" s="3" t="s">
        <v>19</v>
      </c>
      <c r="C11" s="18">
        <v>106</v>
      </c>
      <c r="E11" t="str">
        <f t="shared" si="0"/>
        <v>Male</v>
      </c>
      <c r="F11">
        <f t="shared" si="0"/>
        <v>106</v>
      </c>
    </row>
    <row r="12" spans="2:6" x14ac:dyDescent="0.35">
      <c r="B12" s="2" t="s">
        <v>12</v>
      </c>
      <c r="C12" s="18">
        <v>195</v>
      </c>
      <c r="E12" t="str">
        <f t="shared" si="0"/>
        <v>Asaba General Hospital</v>
      </c>
      <c r="F12">
        <f t="shared" si="0"/>
        <v>195</v>
      </c>
    </row>
    <row r="13" spans="2:6" x14ac:dyDescent="0.35">
      <c r="B13" s="3" t="s">
        <v>15</v>
      </c>
      <c r="C13" s="18">
        <v>110</v>
      </c>
      <c r="E13" t="str">
        <f t="shared" si="0"/>
        <v>Female</v>
      </c>
      <c r="F13">
        <f t="shared" si="0"/>
        <v>110</v>
      </c>
    </row>
    <row r="14" spans="2:6" x14ac:dyDescent="0.35">
      <c r="B14" s="3" t="s">
        <v>19</v>
      </c>
      <c r="C14" s="18">
        <v>85</v>
      </c>
      <c r="E14" t="str">
        <f t="shared" si="0"/>
        <v>Male</v>
      </c>
      <c r="F14">
        <f t="shared" si="0"/>
        <v>85</v>
      </c>
    </row>
    <row r="15" spans="2:6" x14ac:dyDescent="0.35">
      <c r="B15" s="2" t="s">
        <v>38</v>
      </c>
      <c r="C15" s="18">
        <v>311</v>
      </c>
      <c r="E15" t="str">
        <f t="shared" si="0"/>
        <v>Barau Dikko Hospital</v>
      </c>
      <c r="F15">
        <f t="shared" si="0"/>
        <v>311</v>
      </c>
    </row>
    <row r="16" spans="2:6" x14ac:dyDescent="0.35">
      <c r="B16" s="3" t="s">
        <v>15</v>
      </c>
      <c r="C16" s="18">
        <v>102</v>
      </c>
      <c r="E16" t="str">
        <f t="shared" si="0"/>
        <v>Female</v>
      </c>
      <c r="F16">
        <f t="shared" si="0"/>
        <v>102</v>
      </c>
    </row>
    <row r="17" spans="2:6" x14ac:dyDescent="0.35">
      <c r="B17" s="3" t="s">
        <v>19</v>
      </c>
      <c r="C17" s="18">
        <v>209</v>
      </c>
      <c r="E17" t="str">
        <f t="shared" si="0"/>
        <v>Male</v>
      </c>
      <c r="F17">
        <f t="shared" si="0"/>
        <v>209</v>
      </c>
    </row>
    <row r="18" spans="2:6" x14ac:dyDescent="0.35">
      <c r="B18" s="2" t="s">
        <v>49</v>
      </c>
      <c r="C18" s="18">
        <v>300</v>
      </c>
      <c r="E18" t="str">
        <f t="shared" si="0"/>
        <v>Braithwaite Memorial Hospital</v>
      </c>
      <c r="F18">
        <f t="shared" si="0"/>
        <v>300</v>
      </c>
    </row>
    <row r="19" spans="2:6" x14ac:dyDescent="0.35">
      <c r="B19" s="3" t="s">
        <v>15</v>
      </c>
      <c r="C19" s="18">
        <v>146</v>
      </c>
    </row>
    <row r="20" spans="2:6" x14ac:dyDescent="0.35">
      <c r="B20" s="3" t="s">
        <v>19</v>
      </c>
      <c r="C20" s="18">
        <v>154</v>
      </c>
    </row>
    <row r="21" spans="2:6" x14ac:dyDescent="0.35">
      <c r="B21" s="2" t="s">
        <v>35</v>
      </c>
      <c r="C21" s="18">
        <v>318</v>
      </c>
    </row>
    <row r="22" spans="2:6" x14ac:dyDescent="0.35">
      <c r="B22" s="3" t="s">
        <v>15</v>
      </c>
      <c r="C22" s="18">
        <v>154</v>
      </c>
    </row>
    <row r="23" spans="2:6" x14ac:dyDescent="0.35">
      <c r="B23" s="3" t="s">
        <v>19</v>
      </c>
      <c r="C23" s="18">
        <v>164</v>
      </c>
    </row>
    <row r="24" spans="2:6" x14ac:dyDescent="0.35">
      <c r="B24" s="2" t="s">
        <v>58</v>
      </c>
      <c r="C24" s="18">
        <v>255</v>
      </c>
    </row>
    <row r="25" spans="2:6" x14ac:dyDescent="0.35">
      <c r="B25" s="3" t="s">
        <v>15</v>
      </c>
      <c r="C25" s="18">
        <v>130</v>
      </c>
    </row>
    <row r="26" spans="2:6" x14ac:dyDescent="0.35">
      <c r="B26" s="3" t="s">
        <v>19</v>
      </c>
      <c r="C26" s="18">
        <v>125</v>
      </c>
    </row>
    <row r="27" spans="2:6" x14ac:dyDescent="0.35">
      <c r="B27" s="2" t="s">
        <v>29</v>
      </c>
      <c r="C27" s="18">
        <v>214</v>
      </c>
    </row>
    <row r="28" spans="2:6" x14ac:dyDescent="0.35">
      <c r="B28" s="3" t="s">
        <v>15</v>
      </c>
      <c r="C28" s="18">
        <v>140</v>
      </c>
    </row>
    <row r="29" spans="2:6" x14ac:dyDescent="0.35">
      <c r="B29" s="3" t="s">
        <v>19</v>
      </c>
      <c r="C29" s="18">
        <v>74</v>
      </c>
    </row>
    <row r="30" spans="2:6" x14ac:dyDescent="0.35">
      <c r="B30" s="2" t="s">
        <v>47</v>
      </c>
      <c r="C30" s="18">
        <v>259</v>
      </c>
    </row>
    <row r="31" spans="2:6" x14ac:dyDescent="0.35">
      <c r="B31" s="3" t="s">
        <v>15</v>
      </c>
      <c r="C31" s="18">
        <v>134</v>
      </c>
    </row>
    <row r="32" spans="2:6" x14ac:dyDescent="0.35">
      <c r="B32" s="3" t="s">
        <v>19</v>
      </c>
      <c r="C32" s="18">
        <v>125</v>
      </c>
    </row>
    <row r="33" spans="2:3" x14ac:dyDescent="0.35">
      <c r="B33" s="2" t="s">
        <v>42</v>
      </c>
      <c r="C33" s="18">
        <v>232</v>
      </c>
    </row>
    <row r="34" spans="2:3" x14ac:dyDescent="0.35">
      <c r="B34" s="3" t="s">
        <v>15</v>
      </c>
      <c r="C34" s="18">
        <v>144</v>
      </c>
    </row>
    <row r="35" spans="2:3" x14ac:dyDescent="0.35">
      <c r="B35" s="3" t="s">
        <v>19</v>
      </c>
      <c r="C35" s="18">
        <v>88</v>
      </c>
    </row>
    <row r="36" spans="2:3" x14ac:dyDescent="0.35">
      <c r="B36" s="2" t="s">
        <v>17</v>
      </c>
      <c r="C36" s="18">
        <v>280</v>
      </c>
    </row>
    <row r="37" spans="2:3" x14ac:dyDescent="0.35">
      <c r="B37" s="3" t="s">
        <v>15</v>
      </c>
      <c r="C37" s="18">
        <v>151</v>
      </c>
    </row>
    <row r="38" spans="2:3" x14ac:dyDescent="0.35">
      <c r="B38" s="3" t="s">
        <v>19</v>
      </c>
      <c r="C38" s="18">
        <v>129</v>
      </c>
    </row>
    <row r="39" spans="2:3" x14ac:dyDescent="0.35">
      <c r="B39" s="2" t="s">
        <v>64</v>
      </c>
      <c r="C39" s="18">
        <v>180</v>
      </c>
    </row>
    <row r="40" spans="2:3" x14ac:dyDescent="0.35">
      <c r="B40" s="3" t="s">
        <v>15</v>
      </c>
      <c r="C40" s="18">
        <v>106</v>
      </c>
    </row>
    <row r="41" spans="2:3" x14ac:dyDescent="0.35">
      <c r="B41" s="3" t="s">
        <v>19</v>
      </c>
      <c r="C41" s="18">
        <v>74</v>
      </c>
    </row>
    <row r="42" spans="2:3" x14ac:dyDescent="0.35">
      <c r="B42" s="2" t="s">
        <v>39</v>
      </c>
      <c r="C42" s="18">
        <v>318</v>
      </c>
    </row>
    <row r="43" spans="2:3" x14ac:dyDescent="0.35">
      <c r="B43" s="3" t="s">
        <v>15</v>
      </c>
      <c r="C43" s="18">
        <v>157</v>
      </c>
    </row>
    <row r="44" spans="2:3" x14ac:dyDescent="0.35">
      <c r="B44" s="3" t="s">
        <v>19</v>
      </c>
      <c r="C44" s="18">
        <v>161</v>
      </c>
    </row>
    <row r="45" spans="2:3" x14ac:dyDescent="0.35">
      <c r="B45" s="2" t="s">
        <v>51</v>
      </c>
      <c r="C45" s="18">
        <v>254</v>
      </c>
    </row>
    <row r="46" spans="2:3" x14ac:dyDescent="0.35">
      <c r="B46" s="3" t="s">
        <v>15</v>
      </c>
      <c r="C46" s="18">
        <v>134</v>
      </c>
    </row>
    <row r="47" spans="2:3" x14ac:dyDescent="0.35">
      <c r="B47" s="3" t="s">
        <v>19</v>
      </c>
      <c r="C47" s="18">
        <v>120</v>
      </c>
    </row>
    <row r="48" spans="2:3" x14ac:dyDescent="0.35">
      <c r="B48" s="2" t="s">
        <v>57</v>
      </c>
      <c r="C48" s="18">
        <v>232</v>
      </c>
    </row>
    <row r="49" spans="2:3" x14ac:dyDescent="0.35">
      <c r="B49" s="3" t="s">
        <v>15</v>
      </c>
      <c r="C49" s="18">
        <v>121</v>
      </c>
    </row>
    <row r="50" spans="2:3" x14ac:dyDescent="0.35">
      <c r="B50" s="3" t="s">
        <v>19</v>
      </c>
      <c r="C50" s="18">
        <v>111</v>
      </c>
    </row>
    <row r="51" spans="2:3" x14ac:dyDescent="0.35">
      <c r="B51" s="2" t="s">
        <v>54</v>
      </c>
      <c r="C51" s="18">
        <v>227</v>
      </c>
    </row>
    <row r="52" spans="2:3" x14ac:dyDescent="0.35">
      <c r="B52" s="3" t="s">
        <v>15</v>
      </c>
      <c r="C52" s="18">
        <v>129</v>
      </c>
    </row>
    <row r="53" spans="2:3" x14ac:dyDescent="0.35">
      <c r="B53" s="3" t="s">
        <v>19</v>
      </c>
      <c r="C53" s="18">
        <v>98</v>
      </c>
    </row>
    <row r="54" spans="2:3" x14ac:dyDescent="0.35">
      <c r="B54" s="2" t="s">
        <v>63</v>
      </c>
      <c r="C54" s="18">
        <v>249</v>
      </c>
    </row>
    <row r="55" spans="2:3" x14ac:dyDescent="0.35">
      <c r="B55" s="3" t="s">
        <v>15</v>
      </c>
      <c r="C55" s="18">
        <v>109</v>
      </c>
    </row>
    <row r="56" spans="2:3" x14ac:dyDescent="0.35">
      <c r="B56" s="3" t="s">
        <v>19</v>
      </c>
      <c r="C56" s="18">
        <v>140</v>
      </c>
    </row>
    <row r="57" spans="2:3" x14ac:dyDescent="0.35">
      <c r="B57" s="2" t="s">
        <v>52</v>
      </c>
      <c r="C57" s="18">
        <v>218</v>
      </c>
    </row>
    <row r="58" spans="2:3" x14ac:dyDescent="0.35">
      <c r="B58" s="3" t="s">
        <v>15</v>
      </c>
      <c r="C58" s="18">
        <v>142</v>
      </c>
    </row>
    <row r="59" spans="2:3" x14ac:dyDescent="0.35">
      <c r="B59" s="3" t="s">
        <v>19</v>
      </c>
      <c r="C59" s="18">
        <v>76</v>
      </c>
    </row>
    <row r="60" spans="2:3" x14ac:dyDescent="0.35">
      <c r="B60" s="2" t="s">
        <v>60</v>
      </c>
      <c r="C60" s="18">
        <v>169</v>
      </c>
    </row>
    <row r="61" spans="2:3" x14ac:dyDescent="0.35">
      <c r="B61" s="3" t="s">
        <v>15</v>
      </c>
      <c r="C61" s="18">
        <v>89</v>
      </c>
    </row>
    <row r="62" spans="2:3" x14ac:dyDescent="0.35">
      <c r="B62" s="3" t="s">
        <v>19</v>
      </c>
      <c r="C62" s="18">
        <v>80</v>
      </c>
    </row>
    <row r="63" spans="2:3" x14ac:dyDescent="0.35">
      <c r="B63" s="2" t="s">
        <v>66</v>
      </c>
      <c r="C63" s="18">
        <v>4852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53282-A2C8-4AC8-83D4-739F6289FDCD}">
  <dimension ref="A1"/>
  <sheetViews>
    <sheetView showGridLines="0" showRowColHeaders="0" tabSelected="1" topLeftCell="B5" zoomScale="60" zoomScaleNormal="40" workbookViewId="0">
      <selection activeCell="AD21" sqref="AD21"/>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781FC-E779-4F90-B6E4-F01FB7AD7428}">
  <dimension ref="C2:K23"/>
  <sheetViews>
    <sheetView topLeftCell="E1" workbookViewId="0">
      <selection activeCell="M14" sqref="M14:M15"/>
    </sheetView>
  </sheetViews>
  <sheetFormatPr defaultRowHeight="14.5" x14ac:dyDescent="0.35"/>
  <cols>
    <col min="3" max="3" width="25.36328125" bestFit="1" customWidth="1"/>
    <col min="4" max="4" width="22.26953125" bestFit="1" customWidth="1"/>
    <col min="5" max="5" width="24" bestFit="1" customWidth="1"/>
    <col min="6" max="6" width="19.81640625" bestFit="1" customWidth="1"/>
    <col min="7" max="7" width="20" bestFit="1" customWidth="1"/>
    <col min="8" max="8" width="12.36328125" bestFit="1" customWidth="1"/>
  </cols>
  <sheetData>
    <row r="2" spans="3:11" x14ac:dyDescent="0.35">
      <c r="C2" s="1" t="s">
        <v>65</v>
      </c>
      <c r="D2" t="s">
        <v>67</v>
      </c>
      <c r="E2" t="s">
        <v>69</v>
      </c>
      <c r="F2" t="s">
        <v>68</v>
      </c>
      <c r="G2" t="s">
        <v>70</v>
      </c>
    </row>
    <row r="3" spans="3:11" x14ac:dyDescent="0.35">
      <c r="C3" s="2" t="s">
        <v>62</v>
      </c>
      <c r="D3" s="18">
        <v>237</v>
      </c>
      <c r="E3" s="18">
        <v>208</v>
      </c>
      <c r="F3" s="18">
        <v>134.50000000000003</v>
      </c>
      <c r="G3" s="18">
        <v>15</v>
      </c>
    </row>
    <row r="4" spans="3:11" x14ac:dyDescent="0.35">
      <c r="C4" s="2" t="s">
        <v>25</v>
      </c>
      <c r="D4" s="18">
        <v>192</v>
      </c>
      <c r="E4" s="18">
        <v>175</v>
      </c>
      <c r="F4" s="18">
        <v>130.90000000000003</v>
      </c>
      <c r="G4" s="18">
        <v>12</v>
      </c>
    </row>
    <row r="5" spans="3:11" x14ac:dyDescent="0.35">
      <c r="C5" s="2" t="s">
        <v>44</v>
      </c>
      <c r="D5" s="18">
        <v>212</v>
      </c>
      <c r="E5" s="18">
        <v>191</v>
      </c>
      <c r="F5" s="18">
        <v>122.50000000000003</v>
      </c>
      <c r="G5" s="18">
        <v>7</v>
      </c>
    </row>
    <row r="6" spans="3:11" x14ac:dyDescent="0.35">
      <c r="C6" s="2" t="s">
        <v>12</v>
      </c>
      <c r="D6" s="18">
        <v>195</v>
      </c>
      <c r="E6" s="18">
        <v>175</v>
      </c>
      <c r="F6" s="18">
        <v>138.89999999999998</v>
      </c>
      <c r="G6" s="18">
        <v>9</v>
      </c>
    </row>
    <row r="7" spans="3:11" x14ac:dyDescent="0.35">
      <c r="C7" s="2" t="s">
        <v>38</v>
      </c>
      <c r="D7" s="18">
        <v>311</v>
      </c>
      <c r="E7" s="18">
        <v>278</v>
      </c>
      <c r="F7" s="18">
        <v>181.60000000000002</v>
      </c>
      <c r="G7" s="18">
        <v>17</v>
      </c>
    </row>
    <row r="8" spans="3:11" x14ac:dyDescent="0.35">
      <c r="C8" s="2" t="s">
        <v>49</v>
      </c>
      <c r="D8" s="18">
        <v>300</v>
      </c>
      <c r="E8" s="18">
        <v>278</v>
      </c>
      <c r="F8" s="18">
        <v>184.8</v>
      </c>
      <c r="G8" s="18">
        <v>14</v>
      </c>
    </row>
    <row r="9" spans="3:11" x14ac:dyDescent="0.35">
      <c r="C9" s="2" t="s">
        <v>35</v>
      </c>
      <c r="D9" s="18">
        <v>318</v>
      </c>
      <c r="E9" s="18">
        <v>276</v>
      </c>
      <c r="F9" s="18">
        <v>154.80000000000004</v>
      </c>
      <c r="G9" s="18">
        <v>14</v>
      </c>
    </row>
    <row r="10" spans="3:11" x14ac:dyDescent="0.35">
      <c r="C10" s="2" t="s">
        <v>58</v>
      </c>
      <c r="D10" s="18">
        <v>255</v>
      </c>
      <c r="E10" s="18">
        <v>241</v>
      </c>
      <c r="F10" s="18">
        <v>149.5</v>
      </c>
      <c r="G10" s="18">
        <v>10</v>
      </c>
    </row>
    <row r="11" spans="3:11" x14ac:dyDescent="0.35">
      <c r="C11" s="2" t="s">
        <v>29</v>
      </c>
      <c r="D11" s="18">
        <v>214</v>
      </c>
      <c r="E11" s="18">
        <v>188</v>
      </c>
      <c r="F11" s="18">
        <v>134.5</v>
      </c>
      <c r="G11" s="18">
        <v>9</v>
      </c>
    </row>
    <row r="12" spans="3:11" x14ac:dyDescent="0.35">
      <c r="C12" s="2" t="s">
        <v>47</v>
      </c>
      <c r="D12" s="18">
        <v>259</v>
      </c>
      <c r="E12" s="18">
        <v>227</v>
      </c>
      <c r="F12" s="18">
        <v>161.5</v>
      </c>
      <c r="G12" s="18">
        <v>15</v>
      </c>
    </row>
    <row r="13" spans="3:11" x14ac:dyDescent="0.35">
      <c r="C13" s="2" t="s">
        <v>42</v>
      </c>
      <c r="D13" s="18">
        <v>232</v>
      </c>
      <c r="E13" s="18">
        <v>212</v>
      </c>
      <c r="F13" s="18">
        <v>130.29999999999995</v>
      </c>
      <c r="G13" s="18">
        <v>12</v>
      </c>
    </row>
    <row r="14" spans="3:11" x14ac:dyDescent="0.35">
      <c r="C14" s="2" t="s">
        <v>17</v>
      </c>
      <c r="D14" s="18">
        <v>280</v>
      </c>
      <c r="E14" s="18">
        <v>260</v>
      </c>
      <c r="F14" s="18">
        <v>169.1</v>
      </c>
      <c r="G14" s="18">
        <v>12</v>
      </c>
    </row>
    <row r="15" spans="3:11" x14ac:dyDescent="0.35">
      <c r="C15" s="2" t="s">
        <v>64</v>
      </c>
      <c r="D15" s="18">
        <v>180</v>
      </c>
      <c r="E15" s="18">
        <v>162</v>
      </c>
      <c r="F15" s="18">
        <v>110.69999999999996</v>
      </c>
      <c r="G15" s="18">
        <v>8</v>
      </c>
      <c r="H15" s="4">
        <f>(K17/K16)*100</f>
        <v>90.45754328112119</v>
      </c>
    </row>
    <row r="16" spans="3:11" x14ac:dyDescent="0.35">
      <c r="C16" s="2" t="s">
        <v>39</v>
      </c>
      <c r="D16" s="18">
        <v>318</v>
      </c>
      <c r="E16" s="18">
        <v>292</v>
      </c>
      <c r="F16" s="18">
        <v>198</v>
      </c>
      <c r="G16" s="18">
        <v>15</v>
      </c>
      <c r="H16" s="15"/>
      <c r="K16">
        <f>GETPIVOTDATA("Patients Admitted",$C$2)</f>
        <v>4852</v>
      </c>
    </row>
    <row r="17" spans="3:11" x14ac:dyDescent="0.35">
      <c r="C17" s="2" t="s">
        <v>51</v>
      </c>
      <c r="D17" s="18">
        <v>254</v>
      </c>
      <c r="E17" s="18">
        <v>239</v>
      </c>
      <c r="F17" s="18">
        <v>174.79999999999998</v>
      </c>
      <c r="G17" s="18">
        <v>15</v>
      </c>
      <c r="K17">
        <f>GETPIVOTDATA("Sum of Patients Discharged",$C$2)</f>
        <v>4389</v>
      </c>
    </row>
    <row r="18" spans="3:11" x14ac:dyDescent="0.35">
      <c r="C18" s="2" t="s">
        <v>57</v>
      </c>
      <c r="D18" s="18">
        <v>232</v>
      </c>
      <c r="E18" s="18">
        <v>216</v>
      </c>
      <c r="F18" s="18">
        <v>139.19999999999999</v>
      </c>
      <c r="G18" s="18">
        <v>14</v>
      </c>
    </row>
    <row r="19" spans="3:11" x14ac:dyDescent="0.35">
      <c r="C19" s="2" t="s">
        <v>54</v>
      </c>
      <c r="D19" s="18">
        <v>227</v>
      </c>
      <c r="E19" s="18">
        <v>202</v>
      </c>
      <c r="F19" s="18">
        <v>150.60000000000002</v>
      </c>
      <c r="G19" s="18">
        <v>11</v>
      </c>
      <c r="I19">
        <f>GETPIVOTDATA("Sum of Mortality Count",$C$2)</f>
        <v>243</v>
      </c>
    </row>
    <row r="20" spans="3:11" x14ac:dyDescent="0.35">
      <c r="C20" s="2" t="s">
        <v>63</v>
      </c>
      <c r="D20" s="18">
        <v>249</v>
      </c>
      <c r="E20" s="18">
        <v>219</v>
      </c>
      <c r="F20" s="18">
        <v>153.89999999999995</v>
      </c>
      <c r="G20" s="18">
        <v>15</v>
      </c>
      <c r="K20" s="14">
        <f>(I19/K16)*100</f>
        <v>5.0082440230832646</v>
      </c>
    </row>
    <row r="21" spans="3:11" x14ac:dyDescent="0.35">
      <c r="C21" s="2" t="s">
        <v>52</v>
      </c>
      <c r="D21" s="18">
        <v>218</v>
      </c>
      <c r="E21" s="18">
        <v>196</v>
      </c>
      <c r="F21" s="18">
        <v>121.4</v>
      </c>
      <c r="G21" s="18">
        <v>12</v>
      </c>
    </row>
    <row r="22" spans="3:11" x14ac:dyDescent="0.35">
      <c r="C22" s="2" t="s">
        <v>60</v>
      </c>
      <c r="D22" s="18">
        <v>169</v>
      </c>
      <c r="E22" s="18">
        <v>154</v>
      </c>
      <c r="F22" s="18">
        <v>104.90000000000003</v>
      </c>
      <c r="G22" s="18">
        <v>7</v>
      </c>
    </row>
    <row r="23" spans="3:11" x14ac:dyDescent="0.35">
      <c r="C23" s="2" t="s">
        <v>66</v>
      </c>
      <c r="D23" s="18">
        <v>4852</v>
      </c>
      <c r="E23" s="18">
        <v>4389</v>
      </c>
      <c r="F23" s="18">
        <v>2946.4</v>
      </c>
      <c r="G23" s="18">
        <v>243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9CB9CE-4D38-4D12-AB87-AD626D01A6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Public_Hospital_Utilization_Dat</vt:lpstr>
      <vt:lpstr>Sheet1</vt:lpstr>
      <vt:lpstr>Sheet2</vt:lpstr>
      <vt:lpstr>Sheet3</vt:lpstr>
      <vt:lpstr>Sheet4</vt:lpstr>
      <vt:lpstr>Sheet7</vt:lpstr>
      <vt:lpstr>Sheet5</vt:lpstr>
      <vt:lpstr>Sheet6</vt:lpstr>
      <vt:lpstr>Sheet8</vt:lpstr>
      <vt:lpstr>Sheet9</vt:lpstr>
      <vt:lpstr>Sheet10</vt:lpstr>
      <vt:lpstr>Dashboard 1</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Enoch Ojeme</cp:lastModifiedBy>
  <dcterms:created xsi:type="dcterms:W3CDTF">2025-07-08T18:21:53Z</dcterms:created>
  <dcterms:modified xsi:type="dcterms:W3CDTF">2026-02-18T09:16:13Z</dcterms:modified>
</cp:coreProperties>
</file>